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5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6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7.xml" ContentType="application/vnd.openxmlformats-officedocument.themeOverrid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Eri\Projects\DashBoard_Ecommerce\excel\"/>
    </mc:Choice>
  </mc:AlternateContent>
  <xr:revisionPtr revIDLastSave="0" documentId="13_ncr:1_{A0D414B8-2E84-40E1-B615-64B4C813364F}" xr6:coauthVersionLast="47" xr6:coauthVersionMax="47" xr10:uidLastSave="{00000000-0000-0000-0000-000000000000}"/>
  <bookViews>
    <workbookView xWindow="-120" yWindow="-120" windowWidth="20730" windowHeight="11160" tabRatio="0" firstSheet="3" activeTab="3" xr2:uid="{00000000-000D-0000-FFFF-FFFF00000000}"/>
  </bookViews>
  <sheets>
    <sheet name="Base_Vendas" sheetId="1" state="hidden" r:id="rId1"/>
    <sheet name="Assets" sheetId="4" state="hidden" r:id="rId2"/>
    <sheet name="Calculos" sheetId="2" state="hidden" r:id="rId3"/>
    <sheet name="Dashboard" sheetId="3" r:id="rId4"/>
  </sheets>
  <definedNames>
    <definedName name="_xlcn.WorksheetConnection_dashboard_vendas_ecommerce.xlsxBase_Vendas" hidden="1">Base_Vendas[]</definedName>
    <definedName name="SegmentaçãodeDados_ano_pedido">#N/A</definedName>
    <definedName name="SegmentaçãodeDados_categoria_produto">#N/A</definedName>
    <definedName name="SegmentaçãodeDados_forma_pagamento">#N/A</definedName>
    <definedName name="SegmentaçãodeDados_mes_pedido">#N/A</definedName>
    <definedName name="SegmentaçãodeDados_status_pedido">#N/A</definedName>
  </definedNames>
  <calcPr calcId="191028"/>
  <pivotCaches>
    <pivotCache cacheId="0" r:id="rId5"/>
    <pivotCache cacheId="1" r:id="rId6"/>
    <pivotCache cacheId="2" r:id="rId7"/>
    <pivotCache cacheId="3" r:id="rId8"/>
    <pivotCache cacheId="4" r:id="rId9"/>
    <pivotCache cacheId="5" r:id="rId10"/>
    <pivotCache cacheId="6" r:id="rId11"/>
    <pivotCache cacheId="7" r:id="rId12"/>
    <pivotCache cacheId="8" r:id="rId13"/>
    <pivotCache cacheId="9" r:id="rId14"/>
    <pivotCache cacheId="10" r:id="rId15"/>
    <pivotCache cacheId="11" r:id="rId16"/>
  </pivotCaches>
  <extLst>
    <ext xmlns:x14="http://schemas.microsoft.com/office/spreadsheetml/2009/9/main" uri="{876F7934-8845-4945-9796-88D515C7AA90}">
      <x14:pivotCaches>
        <pivotCache cacheId="12" r:id="rId17"/>
      </x14:pivotCaches>
    </ext>
    <ext xmlns:x14="http://schemas.microsoft.com/office/spreadsheetml/2009/9/main" uri="{BBE1A952-AA13-448e-AADC-164F8A28A991}">
      <x14:slicerCaches>
        <x14:slicerCache r:id="rId18"/>
        <x14:slicerCache r:id="rId19"/>
        <x14:slicerCache r:id="rId20"/>
        <x14:slicerCache r:id="rId21"/>
        <x14:slicerCache r:id="rId2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ase_Vendas" name="Base_Vendas" connection="WorksheetConnection_dashboard_vendas_ecommerce.xlsx!Base_Venda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C6" i="2"/>
  <c r="B6" i="2"/>
  <c r="A6" i="2"/>
  <c r="M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3E6967-A264-4E94-AF4F-53A5762B3CED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44CDE9E-A93B-4555-BA8D-4A142FB69E1E}" name="WorksheetConnection_dashboard_vendas_ecommerce.xlsx!Base_Vendas" type="102" refreshedVersion="8" minRefreshableVersion="5">
    <extLst>
      <ext xmlns:x15="http://schemas.microsoft.com/office/spreadsheetml/2010/11/main" uri="{DE250136-89BD-433C-8126-D09CA5730AF9}">
        <x15:connection id="Base_Vendas">
          <x15:rangePr sourceName="_xlcn.WorksheetConnection_dashboard_vendas_ecommerce.xlsxBase_Vendas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8">
    <s v="ThisWorkbookDataModel"/>
    <s v="{[Base_Vendas].[ano_pedido].[All]}"/>
    <s v="{[Base_Vendas].[mes_pedido].[All]}"/>
    <s v="{[Base_Vendas].[status_entrega].[All]}"/>
    <s v="{[Base_Vendas].[status_entrega].&amp;[ Entregue],[Base_Vendas].[status_entrega].&amp;[ Pendente],[Base_Vendas].[status_entrega].&amp;[ Em Transporte]}"/>
    <s v="{[Base_Vendas].[estado].[All]}"/>
    <s v="{[Base_Vendas].[forma_pagamento].[All]}"/>
    <s v="{[Base_Vendas].[status_pedido].[All]}"/>
  </metadataStrings>
  <mdxMetadata count="7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  <mdx n="0" f="s">
      <ms ns="6" c="0"/>
    </mdx>
    <mdx n="0" f="s">
      <ms ns="7" c="0"/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<sst xmlns="http://schemas.openxmlformats.org/spreadsheetml/2006/main" count="856" uniqueCount="246">
  <si>
    <t>id_pedido</t>
  </si>
  <si>
    <t xml:space="preserve"> data_pedido</t>
  </si>
  <si>
    <t xml:space="preserve"> ano_pedido</t>
  </si>
  <si>
    <t xml:space="preserve"> mes_pedido</t>
  </si>
  <si>
    <t xml:space="preserve"> id_cliente</t>
  </si>
  <si>
    <t xml:space="preserve"> nome_cliente</t>
  </si>
  <si>
    <t xml:space="preserve"> tipo_cliente</t>
  </si>
  <si>
    <t xml:space="preserve"> cidade</t>
  </si>
  <si>
    <t xml:space="preserve"> estado</t>
  </si>
  <si>
    <t xml:space="preserve"> id_produto</t>
  </si>
  <si>
    <t xml:space="preserve"> nome_produto</t>
  </si>
  <si>
    <t xml:space="preserve"> categoria_produto</t>
  </si>
  <si>
    <t xml:space="preserve"> quantidade</t>
  </si>
  <si>
    <t xml:space="preserve"> preco_unitario</t>
  </si>
  <si>
    <t xml:space="preserve"> valor_item</t>
  </si>
  <si>
    <t xml:space="preserve"> valor_frete</t>
  </si>
  <si>
    <t xml:space="preserve"> status_pedido</t>
  </si>
  <si>
    <t xml:space="preserve"> forma_pagamento</t>
  </si>
  <si>
    <t xml:space="preserve"> status_entrega</t>
  </si>
  <si>
    <t xml:space="preserve"> data_envio</t>
  </si>
  <si>
    <t xml:space="preserve"> data_entrega</t>
  </si>
  <si>
    <t xml:space="preserve"> codigo_rastreio</t>
  </si>
  <si>
    <t>1</t>
  </si>
  <si>
    <t xml:space="preserve"> 2025-09-02 10:30:00</t>
  </si>
  <si>
    <t xml:space="preserve"> Carlos Almeida</t>
  </si>
  <si>
    <t xml:space="preserve"> PF</t>
  </si>
  <si>
    <t xml:space="preserve"> Curitiba</t>
  </si>
  <si>
    <t xml:space="preserve"> PR</t>
  </si>
  <si>
    <t xml:space="preserve"> Notebook Dell Inspiron</t>
  </si>
  <si>
    <t xml:space="preserve"> Informática</t>
  </si>
  <si>
    <t xml:space="preserve"> Pago</t>
  </si>
  <si>
    <t xml:space="preserve"> Cartão de Crédito</t>
  </si>
  <si>
    <t xml:space="preserve"> Entregue</t>
  </si>
  <si>
    <t xml:space="preserve"> 2025-09-03 00:00:00</t>
  </si>
  <si>
    <t xml:space="preserve"> 2025-09-06 00:00:00</t>
  </si>
  <si>
    <t xml:space="preserve"> BR100000001BR</t>
  </si>
  <si>
    <t xml:space="preserve"> Mouse Gamer Logitech</t>
  </si>
  <si>
    <t xml:space="preserve"> Acessórios</t>
  </si>
  <si>
    <t>2</t>
  </si>
  <si>
    <t xml:space="preserve"> 2025-09-05 14:10:00</t>
  </si>
  <si>
    <t xml:space="preserve"> Fernanda Souza</t>
  </si>
  <si>
    <t xml:space="preserve"> Londrina</t>
  </si>
  <si>
    <t xml:space="preserve"> Smartphone Samsung S23</t>
  </si>
  <si>
    <t xml:space="preserve"> Telefonia</t>
  </si>
  <si>
    <t xml:space="preserve"> Pix</t>
  </si>
  <si>
    <t xml:space="preserve"> 2025-09-09 00:00:00</t>
  </si>
  <si>
    <t xml:space="preserve"> BR100000002BR</t>
  </si>
  <si>
    <t xml:space="preserve"> Pendrive Kingston 64GB</t>
  </si>
  <si>
    <t>3</t>
  </si>
  <si>
    <t xml:space="preserve"> 2025-09-10 09:00:00</t>
  </si>
  <si>
    <t xml:space="preserve"> Marcos Lima</t>
  </si>
  <si>
    <t xml:space="preserve"> Maringá</t>
  </si>
  <si>
    <t xml:space="preserve"> Monitor LG 27\"</t>
  </si>
  <si>
    <t xml:space="preserve"> Enviado</t>
  </si>
  <si>
    <t xml:space="preserve"> Cartão de Débito</t>
  </si>
  <si>
    <t xml:space="preserve"> Em Transporte</t>
  </si>
  <si>
    <t xml:space="preserve"> 2025-09-11 00:00:00</t>
  </si>
  <si>
    <t xml:space="preserve"> NULL</t>
  </si>
  <si>
    <t xml:space="preserve"> BR100000003BR</t>
  </si>
  <si>
    <t xml:space="preserve"> Headset HyperX Cloud</t>
  </si>
  <si>
    <t>4</t>
  </si>
  <si>
    <t xml:space="preserve"> 2025-09-15 11:45:00</t>
  </si>
  <si>
    <t xml:space="preserve"> Juliana Costa</t>
  </si>
  <si>
    <t xml:space="preserve"> Ponta Grossa</t>
  </si>
  <si>
    <t xml:space="preserve"> Cadeira Gamer ThunderX3</t>
  </si>
  <si>
    <t xml:space="preserve"> Móveis</t>
  </si>
  <si>
    <t xml:space="preserve"> Cancelado</t>
  </si>
  <si>
    <t xml:space="preserve"> Boleto</t>
  </si>
  <si>
    <t>5</t>
  </si>
  <si>
    <t xml:space="preserve"> 2025-09-20 15:00:00</t>
  </si>
  <si>
    <t xml:space="preserve"> Loja Tech Solutions</t>
  </si>
  <si>
    <t xml:space="preserve"> PJ</t>
  </si>
  <si>
    <t xml:space="preserve"> São Paulo</t>
  </si>
  <si>
    <t xml:space="preserve"> SP</t>
  </si>
  <si>
    <t xml:space="preserve"> Impressora HP DeskJet</t>
  </si>
  <si>
    <t xml:space="preserve"> Periféricos</t>
  </si>
  <si>
    <t xml:space="preserve"> Em Processamento</t>
  </si>
  <si>
    <t xml:space="preserve"> Transferência</t>
  </si>
  <si>
    <t xml:space="preserve"> Pendente</t>
  </si>
  <si>
    <t xml:space="preserve"> BR100000005BR</t>
  </si>
  <si>
    <t xml:space="preserve"> Roteador TP-Link AX3000</t>
  </si>
  <si>
    <t xml:space="preserve"> Redes</t>
  </si>
  <si>
    <t>6</t>
  </si>
  <si>
    <t xml:space="preserve"> 2025-09-25 13:15:00</t>
  </si>
  <si>
    <t xml:space="preserve"> Mercado Bom Preço LTDA</t>
  </si>
  <si>
    <t xml:space="preserve"> Campinas</t>
  </si>
  <si>
    <t xml:space="preserve"> HD Externo Seagate 2TB</t>
  </si>
  <si>
    <t xml:space="preserve"> 2025-09-26 00:00:00</t>
  </si>
  <si>
    <t xml:space="preserve"> 2025-09-29 00:00:00</t>
  </si>
  <si>
    <t xml:space="preserve"> BR100000006BR</t>
  </si>
  <si>
    <t xml:space="preserve"> Smartwatch Amazfit Bip</t>
  </si>
  <si>
    <t xml:space="preserve"> Wearables</t>
  </si>
  <si>
    <t>7</t>
  </si>
  <si>
    <t xml:space="preserve"> 2025-09-28 16:20:00</t>
  </si>
  <si>
    <t xml:space="preserve"> Construtora Alpha S,A,</t>
  </si>
  <si>
    <t xml:space="preserve"> Rio de Janeiro</t>
  </si>
  <si>
    <t xml:space="preserve"> RJ</t>
  </si>
  <si>
    <t xml:space="preserve"> Webcam Logitech C920</t>
  </si>
  <si>
    <t xml:space="preserve"> BR100000007BR</t>
  </si>
  <si>
    <t>8</t>
  </si>
  <si>
    <t xml:space="preserve"> 2025-10-01 09:10:00</t>
  </si>
  <si>
    <t xml:space="preserve"> Patrícia Ribeiro</t>
  </si>
  <si>
    <t xml:space="preserve"> Joinville</t>
  </si>
  <si>
    <t xml:space="preserve"> SC</t>
  </si>
  <si>
    <t xml:space="preserve"> Caixa de Som JBL Go 3</t>
  </si>
  <si>
    <t xml:space="preserve"> Áudio</t>
  </si>
  <si>
    <t xml:space="preserve"> 2025-10-02 00:00:00</t>
  </si>
  <si>
    <t xml:space="preserve"> 2025-10-04 00:00:00</t>
  </si>
  <si>
    <t xml:space="preserve"> BR100000008BR</t>
  </si>
  <si>
    <t xml:space="preserve"> Tablet Lenovo M10</t>
  </si>
  <si>
    <t xml:space="preserve"> Tablets</t>
  </si>
  <si>
    <t>9</t>
  </si>
  <si>
    <t xml:space="preserve"> 2025-10-03 10:40:00</t>
  </si>
  <si>
    <t xml:space="preserve"> Guilherme Tavares</t>
  </si>
  <si>
    <t xml:space="preserve"> Camboriú</t>
  </si>
  <si>
    <t xml:space="preserve"> SSD Kingston 1TB</t>
  </si>
  <si>
    <t xml:space="preserve"> 2025-10-07 00:00:00</t>
  </si>
  <si>
    <t xml:space="preserve"> BR100000009BR</t>
  </si>
  <si>
    <t xml:space="preserve"> Teclado Sem Fio Logitech</t>
  </si>
  <si>
    <t>10</t>
  </si>
  <si>
    <t xml:space="preserve"> 2025-10-05 12:25:00</t>
  </si>
  <si>
    <t xml:space="preserve"> Eduardo Nascimento</t>
  </si>
  <si>
    <t xml:space="preserve"> São José dos Pinhais</t>
  </si>
  <si>
    <t xml:space="preserve"> Monitor Dell Ultrasharp 32\"</t>
  </si>
  <si>
    <t>11</t>
  </si>
  <si>
    <t xml:space="preserve"> 2025-10-07 08:45:00</t>
  </si>
  <si>
    <t xml:space="preserve"> Clínica Vida Plena LTDA</t>
  </si>
  <si>
    <t xml:space="preserve"> Teclado Mecânico Redragon</t>
  </si>
  <si>
    <t xml:space="preserve"> BR100000011BR</t>
  </si>
  <si>
    <t>12</t>
  </si>
  <si>
    <t xml:space="preserve"> 2025-10-08 15:30:00</t>
  </si>
  <si>
    <t xml:space="preserve"> Auto Center SpeedCar</t>
  </si>
  <si>
    <t xml:space="preserve"> Volta Redonda</t>
  </si>
  <si>
    <t xml:space="preserve"> Microfone Condensador Fifine</t>
  </si>
  <si>
    <t xml:space="preserve"> 2025-10-09 00:00:00</t>
  </si>
  <si>
    <t xml:space="preserve"> 2025-10-11 00:00:00</t>
  </si>
  <si>
    <t xml:space="preserve"> BR100000012BR</t>
  </si>
  <si>
    <t xml:space="preserve"> Estabilizador APC 600VA</t>
  </si>
  <si>
    <t>13</t>
  </si>
  <si>
    <t xml:space="preserve"> 2025-10-10 14:00:00</t>
  </si>
  <si>
    <t xml:space="preserve"> BR100000013BR</t>
  </si>
  <si>
    <t>14</t>
  </si>
  <si>
    <t xml:space="preserve"> 2025-10-12 10:15:00</t>
  </si>
  <si>
    <t xml:space="preserve"> Hub USB-C Baseus</t>
  </si>
  <si>
    <t xml:space="preserve"> BR100000014BR</t>
  </si>
  <si>
    <t xml:space="preserve"> Suporte Notebook Regulável</t>
  </si>
  <si>
    <t>15</t>
  </si>
  <si>
    <t xml:space="preserve"> 2025-10-14 16:10:00</t>
  </si>
  <si>
    <t xml:space="preserve"> 2025-10-15 00:00:00</t>
  </si>
  <si>
    <t xml:space="preserve"> 2025-10-18 00:00:00</t>
  </si>
  <si>
    <t xml:space="preserve"> BR100000015BR</t>
  </si>
  <si>
    <t>16</t>
  </si>
  <si>
    <t xml:space="preserve"> 2025-10-15 11:05:00</t>
  </si>
  <si>
    <t xml:space="preserve"> BR100000016BR</t>
  </si>
  <si>
    <t>17</t>
  </si>
  <si>
    <t xml:space="preserve"> 2025-10-17 09:50:00</t>
  </si>
  <si>
    <t xml:space="preserve"> 2025-10-17 00:00:00</t>
  </si>
  <si>
    <t xml:space="preserve"> 2025-10-20 00:00:00</t>
  </si>
  <si>
    <t xml:space="preserve"> BR100000017BR</t>
  </si>
  <si>
    <t>18</t>
  </si>
  <si>
    <t xml:space="preserve"> 2025-10-18 13:20:00</t>
  </si>
  <si>
    <t xml:space="preserve"> Impressora Laser Brother</t>
  </si>
  <si>
    <t xml:space="preserve"> 2025-10-19 00:00:00</t>
  </si>
  <si>
    <t xml:space="preserve"> 2025-10-22 00:00:00</t>
  </si>
  <si>
    <t xml:space="preserve"> BR100000018BR</t>
  </si>
  <si>
    <t xml:space="preserve"> Projetor Epson X10</t>
  </si>
  <si>
    <t xml:space="preserve"> Eletrônicos</t>
  </si>
  <si>
    <t>19</t>
  </si>
  <si>
    <t xml:space="preserve"> 2025-10-20 15:40:00</t>
  </si>
  <si>
    <t xml:space="preserve"> 2025-10-21 00:00:00</t>
  </si>
  <si>
    <t xml:space="preserve"> BR100000019BR</t>
  </si>
  <si>
    <t>20</t>
  </si>
  <si>
    <t xml:space="preserve"> 2025-10-21 10:00:00</t>
  </si>
  <si>
    <t xml:space="preserve"> BR100000020BR</t>
  </si>
  <si>
    <t>21</t>
  </si>
  <si>
    <t xml:space="preserve"> 2025-10-22 10:15:00</t>
  </si>
  <si>
    <t xml:space="preserve"> 2025-10-23 00:00:00</t>
  </si>
  <si>
    <t xml:space="preserve"> 2025-10-26 00:00:00</t>
  </si>
  <si>
    <t xml:space="preserve"> BR100000021BR</t>
  </si>
  <si>
    <t>22</t>
  </si>
  <si>
    <t xml:space="preserve"> 2025-10-23 11:00:00</t>
  </si>
  <si>
    <t xml:space="preserve"> BR100000022BR</t>
  </si>
  <si>
    <t>23</t>
  </si>
  <si>
    <t xml:space="preserve"> 2025-10-24 12:30:00</t>
  </si>
  <si>
    <t xml:space="preserve"> 2025-10-24 00:00:00</t>
  </si>
  <si>
    <t xml:space="preserve"> BR100000023BR</t>
  </si>
  <si>
    <t>24</t>
  </si>
  <si>
    <t xml:space="preserve"> 2025-10-25 14:15:00</t>
  </si>
  <si>
    <t xml:space="preserve"> BR100000024BR</t>
  </si>
  <si>
    <t>25</t>
  </si>
  <si>
    <t xml:space="preserve"> 2025-10-26 09:45:00</t>
  </si>
  <si>
    <t xml:space="preserve"> BR100000025BR</t>
  </si>
  <si>
    <t>Fundo da página</t>
  </si>
  <si>
    <t>Cinza Pérola</t>
  </si>
  <si>
    <t>#F1F3F7</t>
  </si>
  <si>
    <t>TÍTULOS</t>
  </si>
  <si>
    <t>Azul Royal</t>
  </si>
  <si>
    <t>#1E2A78</t>
  </si>
  <si>
    <t>Título: “Dashboard de Vendas – E-Commerce”</t>
  </si>
  <si>
    <t>Subtítulos dos blocos (ex: "Vendas por Mês").</t>
  </si>
  <si>
    <t>Indicadores positivos</t>
  </si>
  <si>
    <t>Verde</t>
  </si>
  <si>
    <t>#3d3d3d</t>
  </si>
  <si>
    <t>Cor do sucesso</t>
  </si>
  <si>
    <t>Cards Principais</t>
  </si>
  <si>
    <t>Card 1 — Faturamento Total</t>
  </si>
  <si>
    <t>Fundo: Azul Royal (#1E2A78)</t>
  </si>
  <si>
    <t>Cor do Texto</t>
  </si>
  <si>
    <t>#333333</t>
  </si>
  <si>
    <t>#FFFFFF</t>
  </si>
  <si>
    <t>Texto: Branco</t>
  </si>
  <si>
    <t>Card 2 — Total de Pedidos</t>
  </si>
  <si>
    <t>Fundo: Roxo Vibrante (#5A33FF)</t>
  </si>
  <si>
    <t>Card 3 — Ticket Médio</t>
  </si>
  <si>
    <t>Fundo: Azul Royal ou Roxo, dependendo do contraste visual desejado.</t>
  </si>
  <si>
    <t>Card 4 — Cancelamentos (se houver)</t>
  </si>
  <si>
    <t>Fundo: Laranja (#FF914D)</t>
  </si>
  <si>
    <t>Quanto vendemos por mês?</t>
  </si>
  <si>
    <t>Qual é o ticket médio por mês?</t>
  </si>
  <si>
    <t>Quais produtos mais faturam? Top 10</t>
  </si>
  <si>
    <t>Quais categorias de produto trazem mais faturamento?</t>
  </si>
  <si>
    <t>Quem são os “melhores clientes”?</t>
  </si>
  <si>
    <t>Qual a participação de cada forma de pagamento no faturamento?</t>
  </si>
  <si>
    <t>Quais cidades mais faturam?</t>
  </si>
  <si>
    <t>Quantos pedidos temos por status?</t>
  </si>
  <si>
    <t>Qual é o faturamento por status do pedido?</t>
  </si>
  <si>
    <t>Faturamento Total</t>
  </si>
  <si>
    <t>Total de Pedidos</t>
  </si>
  <si>
    <t>status_pedido</t>
  </si>
  <si>
    <t>(Vários itens)</t>
  </si>
  <si>
    <t>ano_pedido</t>
  </si>
  <si>
    <t>All</t>
  </si>
  <si>
    <t>nome_cliente</t>
  </si>
  <si>
    <t>qnt_pedidos</t>
  </si>
  <si>
    <t>status_entrega</t>
  </si>
  <si>
    <t>mes_pedido</t>
  </si>
  <si>
    <t>Rótulos de Linha</t>
  </si>
  <si>
    <t>Faturamento_Total</t>
  </si>
  <si>
    <t>Qnt_Pedidos</t>
  </si>
  <si>
    <t>Ticket_Medio</t>
  </si>
  <si>
    <t>faturamento</t>
  </si>
  <si>
    <t>forma_pagamento</t>
  </si>
  <si>
    <t>estado</t>
  </si>
  <si>
    <t>Total Geral</t>
  </si>
  <si>
    <t>┌──────────── Dashboard de Vendas – E-commerce ───────────────┐</t>
  </si>
  <si>
    <t>Clientes_Ativos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</si>
</sst>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7" formatCode="&quot;R$&quot;\ #,##0.00;\-&quot;R$&quot;\ #,##0.00"/>
    <numFmt numFmtId="44" formatCode="_-&quot;R$&quot;\ * #,##0.00_-;\-&quot;R$&quot;\ * #,##0.00_-;_-&quot;R$&quot;\ * &quot;-&quot;??_-;_-@_-"/>
    <numFmt numFmtId="164" formatCode="&quot;R$&quot;\ #,##0.00"/>
  </numFmts>
  <fonts count="18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Segoe UI"/>
      <family val="2"/>
    </font>
    <font>
      <sz val="13.5"/>
      <color theme="1"/>
      <name val="Segoe UI"/>
      <family val="2"/>
    </font>
    <font>
      <sz val="13.5"/>
      <color theme="0"/>
      <name val="Segoe UI"/>
      <family val="2"/>
    </font>
    <font>
      <b/>
      <sz val="13.5"/>
      <color rgb="FF333333"/>
      <name val="Segoe UI"/>
      <family val="2"/>
    </font>
    <font>
      <sz val="13.5"/>
      <color rgb="FF333333"/>
      <name val="Segoe UI"/>
      <family val="2"/>
    </font>
    <font>
      <b/>
      <sz val="13.5"/>
      <color theme="0"/>
      <name val="Segoe UI"/>
      <family val="2"/>
    </font>
    <font>
      <sz val="11"/>
      <color rgb="FF333333"/>
      <name val="Segoe UI"/>
      <family val="2"/>
    </font>
    <font>
      <sz val="11"/>
      <color rgb="FFFFFFFF"/>
      <name val="Segoe UI"/>
      <family val="2"/>
    </font>
    <font>
      <sz val="11"/>
      <color rgb="FFFFFFFF"/>
      <name val="Aptos Narrow"/>
      <family val="2"/>
      <scheme val="minor"/>
    </font>
    <font>
      <sz val="11"/>
      <color rgb="FF333333"/>
      <name val="Aptos Narrow"/>
      <family val="2"/>
      <scheme val="minor"/>
    </font>
    <font>
      <sz val="32"/>
      <color rgb="FF1E2A78"/>
      <name val="Segoe UI Light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E2A78"/>
        <bgColor indexed="64"/>
      </patternFill>
    </fill>
    <fill>
      <patternFill patternType="solid">
        <fgColor rgb="FF5A33FF"/>
        <bgColor indexed="64"/>
      </patternFill>
    </fill>
    <fill>
      <patternFill patternType="solid">
        <fgColor rgb="FFFF914D"/>
        <bgColor indexed="64"/>
      </patternFill>
    </fill>
    <fill>
      <patternFill patternType="solid">
        <fgColor rgb="FF3CC48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1F3F7"/>
        <bgColor indexed="64"/>
      </patternFill>
    </fill>
  </fills>
  <borders count="6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vertical="center" wrapText="1"/>
    </xf>
    <xf numFmtId="0" fontId="0" fillId="0" borderId="0" xfId="0" pivotButton="1"/>
    <xf numFmtId="44" fontId="0" fillId="0" borderId="0" xfId="0" applyNumberFormat="1" applyAlignment="1">
      <alignment horizontal="center"/>
    </xf>
    <xf numFmtId="44" fontId="0" fillId="0" borderId="0" xfId="0" applyNumberFormat="1"/>
    <xf numFmtId="2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" fontId="0" fillId="0" borderId="0" xfId="0" applyNumberFormat="1"/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9" fontId="0" fillId="0" borderId="0" xfId="0" applyNumberFormat="1"/>
    <xf numFmtId="0" fontId="3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0" fillId="8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5" fillId="0" borderId="0" xfId="0" applyFont="1"/>
    <xf numFmtId="7" fontId="0" fillId="0" borderId="0" xfId="0" applyNumberFormat="1"/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3" fontId="0" fillId="0" borderId="0" xfId="0" applyNumberFormat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13" fillId="5" borderId="3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7" fillId="2" borderId="0" xfId="0" applyFont="1" applyFill="1" applyAlignment="1">
      <alignment horizontal="center"/>
    </xf>
    <xf numFmtId="0" fontId="17" fillId="2" borderId="5" xfId="0" applyFont="1" applyFill="1" applyBorder="1" applyAlignment="1">
      <alignment horizontal="center"/>
    </xf>
  </cellXfs>
  <cellStyles count="1">
    <cellStyle name="Normal" xfId="0" builtinId="0"/>
  </cellStyles>
  <dxfs count="30">
    <dxf>
      <numFmt numFmtId="13" formatCode="0%"/>
    </dxf>
    <dxf>
      <numFmt numFmtId="13" formatCode="0%"/>
    </dxf>
    <dxf>
      <numFmt numFmtId="13" formatCode="0%"/>
    </dxf>
    <dxf>
      <numFmt numFmtId="11" formatCode="&quot;R$&quot;\ #,##0.00;\-&quot;R$&quot;\ #,##0.00"/>
    </dxf>
    <dxf>
      <numFmt numFmtId="11" formatCode="&quot;R$&quot;\ #,##0.00;\-&quot;R$&quot;\ #,##0.0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rgb="FF333333"/>
      </font>
      <fill>
        <patternFill>
          <bgColor rgb="FFFFFFFF"/>
        </patternFill>
      </fill>
      <border>
        <left style="thin">
          <color rgb="FFC7CBD1"/>
        </left>
        <right style="thin">
          <color rgb="FFC7CBD1"/>
        </right>
        <top style="thin">
          <color rgb="FFC7CBD1"/>
        </top>
        <bottom style="thin">
          <color rgb="FFC7CBD1"/>
        </bottom>
      </border>
    </dxf>
  </dxfs>
  <tableStyles count="1" defaultTableStyle="TableStyleMedium2" defaultPivotStyle="PivotStyleLight16">
    <tableStyle name="Estilo de Segmentação de Dados 1" pivot="0" table="0" count="3" xr9:uid="{62DD0C1F-A453-45D1-BB69-E9E635ACE6D0}">
      <tableStyleElement type="wholeTable" dxfId="29"/>
    </tableStyle>
  </tableStyles>
  <colors>
    <mruColors>
      <color rgb="FF5A33FF"/>
      <color rgb="FF1E2A78"/>
      <color rgb="FFE5E8EF"/>
      <color rgb="FF333333"/>
      <color rgb="FFC7CBD1"/>
      <color rgb="FFFFFFFF"/>
      <color rgb="FFF1F3F7"/>
      <color rgb="FFF5F6FA"/>
      <color rgb="FF3D3D3D"/>
      <color rgb="FF3CC480"/>
    </mruColors>
  </colors>
  <extLst>
    <ext xmlns:x14="http://schemas.microsoft.com/office/spreadsheetml/2009/9/main" uri="{46F421CA-312F-682f-3DD2-61675219B42D}">
      <x14:dxfs count="2">
        <dxf>
          <fill>
            <patternFill>
              <bgColor rgb="FFE5E8EF"/>
            </patternFill>
          </fill>
        </dxf>
        <dxf>
          <font>
            <color theme="0"/>
          </font>
          <fill>
            <patternFill>
              <bgColor rgb="FF1E2A78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1"/>
            <x14:slicerStyleElement type="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9.xml"/><Relationship Id="rId18" Type="http://schemas.microsoft.com/office/2007/relationships/slicerCache" Target="slicerCaches/slicerCache1.xml"/><Relationship Id="rId26" Type="http://schemas.openxmlformats.org/officeDocument/2006/relationships/sharedStrings" Target="sharedStrings.xml"/><Relationship Id="rId39" Type="http://schemas.openxmlformats.org/officeDocument/2006/relationships/customXml" Target="../customXml/item10.xml"/><Relationship Id="rId21" Type="http://schemas.microsoft.com/office/2007/relationships/slicerCache" Target="slicerCaches/slicerCache4.xml"/><Relationship Id="rId34" Type="http://schemas.openxmlformats.org/officeDocument/2006/relationships/customXml" Target="../customXml/item5.xml"/><Relationship Id="rId42" Type="http://schemas.openxmlformats.org/officeDocument/2006/relationships/customXml" Target="../customXml/item13.xml"/><Relationship Id="rId47" Type="http://schemas.openxmlformats.org/officeDocument/2006/relationships/customXml" Target="../customXml/item18.xml"/><Relationship Id="rId50" Type="http://schemas.openxmlformats.org/officeDocument/2006/relationships/customXml" Target="../customXml/item21.xml"/><Relationship Id="rId55" Type="http://schemas.openxmlformats.org/officeDocument/2006/relationships/customXml" Target="../customXml/item26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2.xml"/><Relationship Id="rId29" Type="http://schemas.openxmlformats.org/officeDocument/2006/relationships/calcChain" Target="calcChain.xml"/><Relationship Id="rId11" Type="http://schemas.openxmlformats.org/officeDocument/2006/relationships/pivotCacheDefinition" Target="pivotCache/pivotCacheDefinition7.xml"/><Relationship Id="rId24" Type="http://schemas.openxmlformats.org/officeDocument/2006/relationships/connections" Target="connections.xml"/><Relationship Id="rId32" Type="http://schemas.openxmlformats.org/officeDocument/2006/relationships/customXml" Target="../customXml/item3.xml"/><Relationship Id="rId37" Type="http://schemas.openxmlformats.org/officeDocument/2006/relationships/customXml" Target="../customXml/item8.xml"/><Relationship Id="rId40" Type="http://schemas.openxmlformats.org/officeDocument/2006/relationships/customXml" Target="../customXml/item11.xml"/><Relationship Id="rId45" Type="http://schemas.openxmlformats.org/officeDocument/2006/relationships/customXml" Target="../customXml/item16.xml"/><Relationship Id="rId53" Type="http://schemas.openxmlformats.org/officeDocument/2006/relationships/customXml" Target="../customXml/item24.xml"/><Relationship Id="rId58" Type="http://schemas.openxmlformats.org/officeDocument/2006/relationships/customXml" Target="../customXml/item29.xml"/><Relationship Id="rId5" Type="http://schemas.openxmlformats.org/officeDocument/2006/relationships/pivotCacheDefinition" Target="pivotCache/pivotCacheDefinition1.xml"/><Relationship Id="rId19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pivotCacheDefinition" Target="pivotCache/pivotCacheDefinition10.xml"/><Relationship Id="rId22" Type="http://schemas.microsoft.com/office/2007/relationships/slicerCache" Target="slicerCaches/slicerCache5.xml"/><Relationship Id="rId27" Type="http://schemas.openxmlformats.org/officeDocument/2006/relationships/sheetMetadata" Target="metadata.xml"/><Relationship Id="rId30" Type="http://schemas.openxmlformats.org/officeDocument/2006/relationships/customXml" Target="../customXml/item1.xml"/><Relationship Id="rId35" Type="http://schemas.openxmlformats.org/officeDocument/2006/relationships/customXml" Target="../customXml/item6.xml"/><Relationship Id="rId43" Type="http://schemas.openxmlformats.org/officeDocument/2006/relationships/customXml" Target="../customXml/item14.xml"/><Relationship Id="rId48" Type="http://schemas.openxmlformats.org/officeDocument/2006/relationships/customXml" Target="../customXml/item19.xml"/><Relationship Id="rId56" Type="http://schemas.openxmlformats.org/officeDocument/2006/relationships/customXml" Target="../customXml/item27.xml"/><Relationship Id="rId8" Type="http://schemas.openxmlformats.org/officeDocument/2006/relationships/pivotCacheDefinition" Target="pivotCache/pivotCacheDefinition4.xml"/><Relationship Id="rId51" Type="http://schemas.openxmlformats.org/officeDocument/2006/relationships/customXml" Target="../customXml/item22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8.xml"/><Relationship Id="rId17" Type="http://schemas.openxmlformats.org/officeDocument/2006/relationships/pivotCacheDefinition" Target="pivotCache/pivotCacheDefinition13.xml"/><Relationship Id="rId25" Type="http://schemas.openxmlformats.org/officeDocument/2006/relationships/styles" Target="styles.xml"/><Relationship Id="rId33" Type="http://schemas.openxmlformats.org/officeDocument/2006/relationships/customXml" Target="../customXml/item4.xml"/><Relationship Id="rId38" Type="http://schemas.openxmlformats.org/officeDocument/2006/relationships/customXml" Target="../customXml/item9.xml"/><Relationship Id="rId46" Type="http://schemas.openxmlformats.org/officeDocument/2006/relationships/customXml" Target="../customXml/item17.xml"/><Relationship Id="rId59" Type="http://schemas.openxmlformats.org/officeDocument/2006/relationships/customXml" Target="../customXml/item30.xml"/><Relationship Id="rId20" Type="http://schemas.microsoft.com/office/2007/relationships/slicerCache" Target="slicerCaches/slicerCache3.xml"/><Relationship Id="rId41" Type="http://schemas.openxmlformats.org/officeDocument/2006/relationships/customXml" Target="../customXml/item12.xml"/><Relationship Id="rId54" Type="http://schemas.openxmlformats.org/officeDocument/2006/relationships/customXml" Target="../customXml/item25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5" Type="http://schemas.openxmlformats.org/officeDocument/2006/relationships/pivotCacheDefinition" Target="pivotCache/pivotCacheDefinition11.xml"/><Relationship Id="rId23" Type="http://schemas.openxmlformats.org/officeDocument/2006/relationships/theme" Target="theme/theme1.xml"/><Relationship Id="rId28" Type="http://schemas.openxmlformats.org/officeDocument/2006/relationships/powerPivotData" Target="model/item.data"/><Relationship Id="rId36" Type="http://schemas.openxmlformats.org/officeDocument/2006/relationships/customXml" Target="../customXml/item7.xml"/><Relationship Id="rId49" Type="http://schemas.openxmlformats.org/officeDocument/2006/relationships/customXml" Target="../customXml/item20.xml"/><Relationship Id="rId57" Type="http://schemas.openxmlformats.org/officeDocument/2006/relationships/customXml" Target="../customXml/item28.xml"/><Relationship Id="rId10" Type="http://schemas.openxmlformats.org/officeDocument/2006/relationships/pivotCacheDefinition" Target="pivotCache/pivotCacheDefinition6.xml"/><Relationship Id="rId31" Type="http://schemas.openxmlformats.org/officeDocument/2006/relationships/customXml" Target="../customXml/item2.xml"/><Relationship Id="rId44" Type="http://schemas.openxmlformats.org/officeDocument/2006/relationships/customXml" Target="../customXml/item15.xml"/><Relationship Id="rId52" Type="http://schemas.openxmlformats.org/officeDocument/2006/relationships/customXml" Target="../customXml/item23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[dashboard_vendas_ecommerce.xlsx]Calculos!Tabela dinâmica19</c:name>
    <c:fmtId val="3"/>
  </c:pivotSource>
  <c:chart>
    <c:title>
      <c:tx>
        <c:rich>
          <a:bodyPr rot="0" spcFirstLastPara="1" vertOverflow="ellipsis" vert="horz" wrap="square" anchor="t" anchorCtr="0"/>
          <a:lstStyle/>
          <a:p>
            <a:pPr algn="ctr">
              <a:defRPr sz="1400" b="0" i="0" u="none" strike="noStrike" kern="1200" spc="0" baseline="0">
                <a:solidFill>
                  <a:srgbClr val="1E2A78"/>
                </a:solidFill>
                <a:latin typeface="Segoe UI Black" panose="020B0A02040204020203" pitchFamily="34" charset="0"/>
                <a:ea typeface="Segoe UI Black" panose="020B0A02040204020203" pitchFamily="34" charset="0"/>
                <a:cs typeface="+mn-cs"/>
              </a:defRPr>
            </a:pPr>
            <a:r>
              <a:rPr lang="pt-BR"/>
              <a:t>Faturamento mensal</a:t>
            </a:r>
          </a:p>
        </c:rich>
      </c:tx>
      <c:layout>
        <c:manualLayout>
          <c:xMode val="edge"/>
          <c:yMode val="edge"/>
          <c:x val="0.24425380232258959"/>
          <c:y val="3.246414159016912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 algn="ctr">
            <a:defRPr sz="1400" b="0" i="0" u="none" strike="noStrike" kern="1200" spc="0" baseline="0">
              <a:solidFill>
                <a:srgbClr val="1E2A78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rgbClr val="1E2A7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3D3D3D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E2A7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D3D3D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E2A7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1E2A78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A33FF"/>
          </a:solidFill>
          <a:ln>
            <a:noFill/>
          </a:ln>
          <a:effectLst/>
        </c:spPr>
      </c:pivotFmt>
      <c:pivotFmt>
        <c:idx val="4"/>
        <c:spPr>
          <a:solidFill>
            <a:srgbClr val="1E2A7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3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929949379457484"/>
          <c:y val="0.17799263340567154"/>
          <c:w val="0.79502095603342005"/>
          <c:h val="0.631314240110881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Calculos!$H$8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E2A7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Calculos!$G$9:$G$11</c:f>
              <c:strCache>
                <c:ptCount val="2"/>
                <c:pt idx="0">
                  <c:v>9</c:v>
                </c:pt>
                <c:pt idx="1">
                  <c:v>10</c:v>
                </c:pt>
              </c:strCache>
            </c:strRef>
          </c:cat>
          <c:val>
            <c:numRef>
              <c:f>Calculos!$H$9:$H$11</c:f>
              <c:numCache>
                <c:formatCode>"R$"#,##0.00_);\("R$"#,##0.00\)</c:formatCode>
                <c:ptCount val="2"/>
                <c:pt idx="0">
                  <c:v>14820</c:v>
                </c:pt>
                <c:pt idx="1">
                  <c:v>31750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E1-4FB9-AF3F-B0A03766CD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38869823"/>
        <c:axId val="238877503"/>
      </c:barChart>
      <c:catAx>
        <c:axId val="238869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E2A78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8877503"/>
        <c:crosses val="autoZero"/>
        <c:auto val="1"/>
        <c:lblAlgn val="ctr"/>
        <c:lblOffset val="100"/>
        <c:noMultiLvlLbl val="0"/>
      </c:catAx>
      <c:valAx>
        <c:axId val="238877503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>
              <a:outerShdw blurRad="50800" dist="50800" dir="5400000" algn="ctr" rotWithShape="0">
                <a:srgbClr val="C7CBD1"/>
              </a:outerShdw>
            </a:effectLst>
          </c:spPr>
        </c:majorGridlines>
        <c:numFmt formatCode="&quot;R$&quot;#,##0.00_);\(&quot;R$&quot;#,##0.00\)" sourceLinked="1"/>
        <c:majorTickMark val="none"/>
        <c:minorTickMark val="none"/>
        <c:tickLblPos val="nextTo"/>
        <c:crossAx val="238869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 anchor="t" anchorCtr="1"/>
    <a:lstStyle/>
    <a:p>
      <a:pPr>
        <a:defRPr>
          <a:solidFill>
            <a:srgbClr val="3D3D3D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[dashboard_vendas_ecommerce.xlsx]Calculos!Tabela dinâmica22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pt-BR" sz="1400" b="0" i="0" u="none" strike="noStrike" kern="1200" spc="0" baseline="0">
                <a:solidFill>
                  <a:srgbClr val="1E2A78"/>
                </a:solidFill>
                <a:latin typeface="Segoe UI Black" panose="020B0A02040204020203" pitchFamily="34" charset="0"/>
                <a:ea typeface="Segoe UI Black" panose="020B0A02040204020203" pitchFamily="34" charset="0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rgbClr val="1E2A78"/>
                </a:solidFill>
                <a:latin typeface="Segoe UI Black" panose="020B0A02040204020203" pitchFamily="34" charset="0"/>
                <a:ea typeface="Segoe UI Black" panose="020B0A02040204020203" pitchFamily="34" charset="0"/>
                <a:cs typeface="+mn-cs"/>
              </a:rPr>
              <a:t>Peso no faturamento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pt-BR" sz="1400" b="0" i="0" u="none" strike="noStrike" kern="1200" spc="0" baseline="0">
              <a:solidFill>
                <a:srgbClr val="1E2A78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E2A7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3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Calculos!$S$11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E2A7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Calculos!$R$12:$R$21</c:f>
              <c:strCache>
                <c:ptCount val="10"/>
                <c:pt idx="0">
                  <c:v> Informática</c:v>
                </c:pt>
                <c:pt idx="1">
                  <c:v> Telefonia</c:v>
                </c:pt>
                <c:pt idx="2">
                  <c:v> Acessórios</c:v>
                </c:pt>
                <c:pt idx="3">
                  <c:v> Móveis</c:v>
                </c:pt>
                <c:pt idx="4">
                  <c:v> Periféricos</c:v>
                </c:pt>
                <c:pt idx="5">
                  <c:v> Eletrônicos</c:v>
                </c:pt>
                <c:pt idx="6">
                  <c:v> Tablets</c:v>
                </c:pt>
                <c:pt idx="7">
                  <c:v> Redes</c:v>
                </c:pt>
                <c:pt idx="8">
                  <c:v> Áudio</c:v>
                </c:pt>
                <c:pt idx="9">
                  <c:v> Wearables</c:v>
                </c:pt>
              </c:strCache>
            </c:strRef>
          </c:cat>
          <c:val>
            <c:numRef>
              <c:f>Calculos!$S$12:$S$21</c:f>
              <c:numCache>
                <c:formatCode>0%</c:formatCode>
                <c:ptCount val="10"/>
                <c:pt idx="0">
                  <c:v>0.42280438050246938</c:v>
                </c:pt>
                <c:pt idx="1">
                  <c:v>0.15460596950826713</c:v>
                </c:pt>
                <c:pt idx="2">
                  <c:v>0.12862357741035002</c:v>
                </c:pt>
                <c:pt idx="3">
                  <c:v>5.7977238565600171E-2</c:v>
                </c:pt>
                <c:pt idx="4">
                  <c:v>5.5185741893923126E-2</c:v>
                </c:pt>
                <c:pt idx="5">
                  <c:v>5.3682628301481641E-2</c:v>
                </c:pt>
                <c:pt idx="6">
                  <c:v>4.7240712905303843E-2</c:v>
                </c:pt>
                <c:pt idx="7">
                  <c:v>3.006227184882972E-2</c:v>
                </c:pt>
                <c:pt idx="8">
                  <c:v>2.8344427743182306E-2</c:v>
                </c:pt>
                <c:pt idx="9">
                  <c:v>2.1473051320592657E-2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A8-4781-A148-15B738AC8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4918559"/>
        <c:axId val="474890719"/>
      </c:barChart>
      <c:catAx>
        <c:axId val="47491855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E2A78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4890719"/>
        <c:crosses val="autoZero"/>
        <c:auto val="1"/>
        <c:lblAlgn val="ctr"/>
        <c:lblOffset val="100"/>
        <c:noMultiLvlLbl val="0"/>
      </c:catAx>
      <c:valAx>
        <c:axId val="474890719"/>
        <c:scaling>
          <c:orientation val="minMax"/>
        </c:scaling>
        <c:delete val="1"/>
        <c:axPos val="t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474918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[dashboard_vendas_ecommerce.xlsx]Calculos!Tabela dinâmica20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pt-BR" sz="1400" b="0" i="0" u="none" strike="noStrike" kern="1200" spc="0" baseline="0">
                <a:solidFill>
                  <a:srgbClr val="1E2A78"/>
                </a:solidFill>
                <a:latin typeface="Segoe UI Black" panose="020B0A02040204020203" pitchFamily="34" charset="0"/>
                <a:ea typeface="Segoe UI Black" panose="020B0A02040204020203" pitchFamily="34" charset="0"/>
                <a:cs typeface="+mn-cs"/>
              </a:defRPr>
            </a:pPr>
            <a:r>
              <a:rPr lang="pt-BR" sz="1400" b="0" i="0" u="none" strike="noStrike" baseline="0"/>
              <a:t>Top 10 produtos por faturamento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pt-BR" sz="1400" b="0" i="0" u="none" strike="noStrike" kern="1200" spc="0" baseline="0">
              <a:solidFill>
                <a:srgbClr val="1E2A78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E2A7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1E2A7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1E2A7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1E2A7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900" spc="10" baseline="0">
                  <a:solidFill>
                    <a:schemeClr val="accent3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24696802646086"/>
          <c:y val="0.26972286972286974"/>
          <c:w val="0.56436397464167587"/>
          <c:h val="0.6789546676071498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Calculos!$P$9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E2A7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900" spc="1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Calculos!$O$10:$O$19</c:f>
              <c:strCache>
                <c:ptCount val="10"/>
                <c:pt idx="0">
                  <c:v> Notebook Dell Inspiron</c:v>
                </c:pt>
                <c:pt idx="1">
                  <c:v> Smartphone Samsung S23</c:v>
                </c:pt>
                <c:pt idx="2">
                  <c:v> Monitor LG 27\"</c:v>
                </c:pt>
                <c:pt idx="3">
                  <c:v> Monitor Dell Ultrasharp 32\"</c:v>
                </c:pt>
                <c:pt idx="4">
                  <c:v> Cadeira Gamer ThunderX3</c:v>
                </c:pt>
                <c:pt idx="5">
                  <c:v> Projetor Epson X10</c:v>
                </c:pt>
                <c:pt idx="6">
                  <c:v> Tablet Lenovo M10</c:v>
                </c:pt>
                <c:pt idx="7">
                  <c:v> HD Externo Seagate 2TB</c:v>
                </c:pt>
                <c:pt idx="8">
                  <c:v> SSD Kingston 1TB</c:v>
                </c:pt>
                <c:pt idx="9">
                  <c:v> Roteador TP-Link AX3000</c:v>
                </c:pt>
              </c:strCache>
            </c:strRef>
          </c:cat>
          <c:val>
            <c:numRef>
              <c:f>Calculos!$P$10:$P$19</c:f>
              <c:numCache>
                <c:formatCode>"R$"#,##0.00_);\("R$"#,##0.00\)</c:formatCode>
                <c:ptCount val="10"/>
                <c:pt idx="0">
                  <c:v>9600</c:v>
                </c:pt>
                <c:pt idx="1">
                  <c:v>7200</c:v>
                </c:pt>
                <c:pt idx="2">
                  <c:v>3600</c:v>
                </c:pt>
                <c:pt idx="3">
                  <c:v>3400</c:v>
                </c:pt>
                <c:pt idx="4">
                  <c:v>2700</c:v>
                </c:pt>
                <c:pt idx="5">
                  <c:v>2500</c:v>
                </c:pt>
                <c:pt idx="6">
                  <c:v>2200</c:v>
                </c:pt>
                <c:pt idx="7">
                  <c:v>1650</c:v>
                </c:pt>
                <c:pt idx="8">
                  <c:v>1440</c:v>
                </c:pt>
                <c:pt idx="9">
                  <c:v>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27-4285-AF4A-6324AC62A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4918559"/>
        <c:axId val="474890719"/>
      </c:barChart>
      <c:catAx>
        <c:axId val="47491855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E2A78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4890719"/>
        <c:crosses val="autoZero"/>
        <c:auto val="1"/>
        <c:lblAlgn val="ctr"/>
        <c:lblOffset val="100"/>
        <c:noMultiLvlLbl val="0"/>
      </c:catAx>
      <c:valAx>
        <c:axId val="474890719"/>
        <c:scaling>
          <c:orientation val="minMax"/>
        </c:scaling>
        <c:delete val="1"/>
        <c:axPos val="t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R$&quot;#,##0.00_);\(&quot;R$&quot;#,##0.00\)" sourceLinked="1"/>
        <c:majorTickMark val="none"/>
        <c:minorTickMark val="none"/>
        <c:tickLblPos val="nextTo"/>
        <c:crossAx val="474918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[dashboard_vendas_ecommerce.xlsx]Calculos!Tabela dinâmica2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pt-BR" sz="1400" b="0" i="0" u="none" strike="noStrike" kern="1200" spc="0" baseline="0">
                <a:solidFill>
                  <a:srgbClr val="1E2A78"/>
                </a:solidFill>
                <a:latin typeface="Segoe UI Black" panose="020B0A02040204020203" pitchFamily="34" charset="0"/>
                <a:ea typeface="Segoe UI Black" panose="020B0A02040204020203" pitchFamily="34" charset="0"/>
                <a:cs typeface="+mn-cs"/>
              </a:defRPr>
            </a:pPr>
            <a:r>
              <a:rPr lang="en-US"/>
              <a:t>Top 5 clientes</a:t>
            </a:r>
            <a:r>
              <a:rPr lang="en-US" baseline="0"/>
              <a:t> por faturamento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pt-BR" sz="1400" b="0" i="0" u="none" strike="noStrike" kern="1200" spc="0" baseline="0">
              <a:solidFill>
                <a:srgbClr val="1E2A78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E2A7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1E2A7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1E2A7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1E2A7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3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Calculos!$V$12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E2A7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Calculos!$U$13:$U$17</c:f>
              <c:strCache>
                <c:ptCount val="5"/>
                <c:pt idx="0">
                  <c:v> Guilherme Tavares</c:v>
                </c:pt>
                <c:pt idx="1">
                  <c:v> Fernanda Souza</c:v>
                </c:pt>
                <c:pt idx="2">
                  <c:v> Eduardo Nascimento</c:v>
                </c:pt>
                <c:pt idx="3">
                  <c:v> Clínica Vida Plena LTDA</c:v>
                </c:pt>
                <c:pt idx="4">
                  <c:v> Carlos Almeida</c:v>
                </c:pt>
              </c:strCache>
            </c:strRef>
          </c:cat>
          <c:val>
            <c:numRef>
              <c:f>Calculos!$V$13:$V$17</c:f>
              <c:numCache>
                <c:formatCode>"R$"\ #,##0.00</c:formatCode>
                <c:ptCount val="5"/>
                <c:pt idx="0">
                  <c:v>3720</c:v>
                </c:pt>
                <c:pt idx="1">
                  <c:v>4980</c:v>
                </c:pt>
                <c:pt idx="2">
                  <c:v>6880</c:v>
                </c:pt>
                <c:pt idx="3">
                  <c:v>7670</c:v>
                </c:pt>
                <c:pt idx="4">
                  <c:v>8650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3B-4430-B14A-BE15F57AB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4918559"/>
        <c:axId val="474890719"/>
      </c:barChart>
      <c:catAx>
        <c:axId val="47491855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E2A78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4890719"/>
        <c:crosses val="autoZero"/>
        <c:auto val="1"/>
        <c:lblAlgn val="ctr"/>
        <c:lblOffset val="100"/>
        <c:noMultiLvlLbl val="0"/>
      </c:catAx>
      <c:valAx>
        <c:axId val="474890719"/>
        <c:scaling>
          <c:orientation val="minMax"/>
        </c:scaling>
        <c:delete val="1"/>
        <c:axPos val="r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crossAx val="474918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[dashboard_vendas_ecommerce.xlsx]Calculos!Tabela dinâmica23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pt-BR" sz="1400" b="0" i="0" u="none" strike="noStrike" kern="1200" spc="0" baseline="0">
                <a:solidFill>
                  <a:srgbClr val="1E2A78"/>
                </a:solidFill>
                <a:latin typeface="Segoe UI Black" panose="020B0A02040204020203" pitchFamily="34" charset="0"/>
                <a:ea typeface="Segoe UI Black" panose="020B0A02040204020203" pitchFamily="34" charset="0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rgbClr val="1E2A78"/>
                </a:solidFill>
                <a:latin typeface="Segoe UI Black" panose="020B0A02040204020203" pitchFamily="34" charset="0"/>
                <a:ea typeface="Segoe UI Black" panose="020B0A02040204020203" pitchFamily="34" charset="0"/>
                <a:cs typeface="+mn-cs"/>
              </a:rPr>
              <a:t>Forma de pagamento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pt-BR" sz="1400" b="0" i="0" u="none" strike="noStrike" kern="1200" spc="0" baseline="0">
              <a:solidFill>
                <a:srgbClr val="1E2A78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0">
            <a:noFill/>
          </a:ln>
          <a:effectLst>
            <a:innerShdw blurRad="63500" dist="50800" dir="16200000">
              <a:prstClr val="black">
                <a:alpha val="50000"/>
              </a:prst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alpha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0">
            <a:noFill/>
          </a:ln>
          <a:effectLst>
            <a:innerShdw blurRad="63500" dist="50800" dir="16200000">
              <a:prstClr val="black">
                <a:alpha val="50000"/>
              </a:prstClr>
            </a:innerShdw>
          </a:effectLst>
        </c:spPr>
      </c:pivotFmt>
      <c:pivotFmt>
        <c:idx val="5"/>
        <c:spPr>
          <a:solidFill>
            <a:schemeClr val="accent1"/>
          </a:solidFill>
          <a:ln w="0">
            <a:noFill/>
          </a:ln>
          <a:effectLst>
            <a:innerShdw blurRad="63500" dist="50800" dir="16200000">
              <a:prstClr val="black">
                <a:alpha val="50000"/>
              </a:prstClr>
            </a:innerShdw>
          </a:effectLst>
        </c:spPr>
      </c:pivotFmt>
      <c:pivotFmt>
        <c:idx val="6"/>
        <c:spPr>
          <a:solidFill>
            <a:schemeClr val="accent1"/>
          </a:solidFill>
          <a:ln w="0">
            <a:noFill/>
          </a:ln>
          <a:effectLst>
            <a:innerShdw blurRad="63500" dist="50800" dir="16200000">
              <a:prstClr val="black">
                <a:alpha val="50000"/>
              </a:prstClr>
            </a:innerShdw>
          </a:effectLst>
        </c:spPr>
      </c:pivotFmt>
      <c:pivotFmt>
        <c:idx val="7"/>
        <c:spPr>
          <a:solidFill>
            <a:schemeClr val="accent1"/>
          </a:solidFill>
          <a:ln w="0">
            <a:noFill/>
          </a:ln>
          <a:effectLst>
            <a:innerShdw blurRad="63500" dist="50800" dir="16200000">
              <a:prstClr val="black">
                <a:alpha val="50000"/>
              </a:prstClr>
            </a:innerShdw>
          </a:effectLst>
        </c:spPr>
      </c:pivotFmt>
      <c:pivotFmt>
        <c:idx val="8"/>
        <c:spPr>
          <a:solidFill>
            <a:schemeClr val="accent1"/>
          </a:solidFill>
          <a:ln w="0">
            <a:noFill/>
          </a:ln>
          <a:effectLst>
            <a:innerShdw blurRad="63500" dist="50800" dir="16200000">
              <a:prstClr val="black">
                <a:alpha val="50000"/>
              </a:prstClr>
            </a:inn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Calculos!$Z$11</c:f>
              <c:strCache>
                <c:ptCount val="1"/>
                <c:pt idx="0">
                  <c:v>Total</c:v>
                </c:pt>
              </c:strCache>
            </c:strRef>
          </c:tx>
          <c:spPr>
            <a:ln w="0">
              <a:noFill/>
            </a:ln>
            <a:effectLst>
              <a:innerShdw blurRad="63500" dist="50800" dir="16200000">
                <a:prstClr val="black">
                  <a:alpha val="50000"/>
                </a:prstClr>
              </a:innerShdw>
            </a:effectLst>
          </c:spPr>
          <c:dPt>
            <c:idx val="0"/>
            <c:bubble3D val="0"/>
            <c:spPr>
              <a:solidFill>
                <a:schemeClr val="accent1"/>
              </a:solidFill>
              <a:ln w="0">
                <a:noFill/>
              </a:ln>
              <a:effectLst>
                <a:innerShdw blurRad="63500" dist="50800" dir="162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EDBD-475B-998E-3C027EB8F18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0">
                <a:noFill/>
              </a:ln>
              <a:effectLst>
                <a:innerShdw blurRad="63500" dist="50800" dir="162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EDBD-475B-998E-3C027EB8F18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0">
                <a:noFill/>
              </a:ln>
              <a:effectLst>
                <a:innerShdw blurRad="63500" dist="50800" dir="162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EDBD-475B-998E-3C027EB8F18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0">
                <a:noFill/>
              </a:ln>
              <a:effectLst>
                <a:innerShdw blurRad="63500" dist="50800" dir="162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EDBD-475B-998E-3C027EB8F18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0">
                <a:noFill/>
              </a:ln>
              <a:effectLst>
                <a:innerShdw blurRad="63500" dist="50800" dir="162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EDBD-475B-998E-3C027EB8F18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alpha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Calculos!$Y$12:$Y$16</c:f>
              <c:strCache>
                <c:ptCount val="5"/>
                <c:pt idx="0">
                  <c:v> Cartão de Crédito</c:v>
                </c:pt>
                <c:pt idx="1">
                  <c:v> Pix</c:v>
                </c:pt>
                <c:pt idx="2">
                  <c:v> Boleto</c:v>
                </c:pt>
                <c:pt idx="3">
                  <c:v> Cartão de Débito</c:v>
                </c:pt>
                <c:pt idx="4">
                  <c:v> Transferência</c:v>
                </c:pt>
              </c:strCache>
            </c:strRef>
          </c:cat>
          <c:val>
            <c:numRef>
              <c:f>Calculos!$Z$12:$Z$16</c:f>
              <c:numCache>
                <c:formatCode>0%</c:formatCode>
                <c:ptCount val="5"/>
                <c:pt idx="0">
                  <c:v>0.336267983680481</c:v>
                </c:pt>
                <c:pt idx="1">
                  <c:v>0.22911745759072363</c:v>
                </c:pt>
                <c:pt idx="2">
                  <c:v>0.15825638823276789</c:v>
                </c:pt>
                <c:pt idx="3">
                  <c:v>0.13828645050461671</c:v>
                </c:pt>
                <c:pt idx="4">
                  <c:v>0.13807171999141077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A8-4781-A148-15B738AC8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alpha val="9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>
              <a:alpha val="9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[dashboard_vendas_ecommerce.xlsx]Calculos!Tabela dinâmica15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pt-BR" sz="1400" b="0" i="0" u="none" strike="noStrike" kern="1200" spc="0" baseline="0">
                <a:solidFill>
                  <a:srgbClr val="1E2A78"/>
                </a:solidFill>
                <a:latin typeface="Segoe UI Black" panose="020B0A02040204020203" pitchFamily="34" charset="0"/>
                <a:ea typeface="Segoe UI Black" panose="020B0A02040204020203" pitchFamily="34" charset="0"/>
                <a:cs typeface="+mn-cs"/>
              </a:defRPr>
            </a:pPr>
            <a:r>
              <a:rPr lang="pt-BR" sz="1400" b="0" i="0" u="none" strike="noStrike" baseline="0"/>
              <a:t>Top cidades por faturamento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pt-BR" sz="1400" b="0" i="0" u="none" strike="noStrike" kern="1200" spc="0" baseline="0">
              <a:solidFill>
                <a:srgbClr val="1E2A78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E2A7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1E2A7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1E2A7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1E2A78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R$&quot;#,##0.00_);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spc="-80" baseline="0">
                  <a:solidFill>
                    <a:schemeClr val="accent3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1E2A78"/>
          </a:solidFill>
          <a:ln>
            <a:noFill/>
          </a:ln>
          <a:effectLst/>
        </c:spPr>
      </c:pivotFmt>
      <c:pivotFmt>
        <c:idx val="7"/>
        <c:spPr>
          <a:solidFill>
            <a:srgbClr val="1E2A78"/>
          </a:solidFill>
          <a:ln>
            <a:noFill/>
          </a:ln>
          <a:effectLst/>
        </c:spPr>
      </c:pivotFmt>
      <c:pivotFmt>
        <c:idx val="8"/>
        <c:spPr>
          <a:solidFill>
            <a:srgbClr val="1E2A78"/>
          </a:solidFill>
          <a:ln>
            <a:noFill/>
          </a:ln>
          <a:effectLst/>
        </c:spPr>
      </c:pivotFmt>
      <c:pivotFmt>
        <c:idx val="9"/>
        <c:spPr>
          <a:solidFill>
            <a:srgbClr val="1E2A78"/>
          </a:solidFill>
          <a:ln>
            <a:noFill/>
          </a:ln>
          <a:effectLst/>
        </c:spPr>
      </c:pivotFmt>
      <c:pivotFmt>
        <c:idx val="10"/>
        <c:spPr>
          <a:solidFill>
            <a:srgbClr val="1E2A78"/>
          </a:solidFill>
          <a:ln>
            <a:noFill/>
          </a:ln>
          <a:effectLst/>
        </c:spPr>
      </c:pivotFmt>
      <c:pivotFmt>
        <c:idx val="11"/>
        <c:spPr>
          <a:solidFill>
            <a:srgbClr val="1E2A78"/>
          </a:solidFill>
          <a:ln>
            <a:noFill/>
          </a:ln>
          <a:effectLst/>
        </c:spPr>
      </c:pivotFmt>
      <c:pivotFmt>
        <c:idx val="12"/>
        <c:spPr>
          <a:solidFill>
            <a:srgbClr val="1E2A78"/>
          </a:solidFill>
          <a:ln>
            <a:noFill/>
          </a:ln>
          <a:effectLst/>
        </c:spPr>
      </c:pivotFmt>
      <c:pivotFmt>
        <c:idx val="13"/>
        <c:spPr>
          <a:solidFill>
            <a:srgbClr val="1E2A78"/>
          </a:solidFill>
          <a:ln>
            <a:noFill/>
          </a:ln>
          <a:effectLst/>
        </c:spPr>
      </c:pivotFmt>
      <c:pivotFmt>
        <c:idx val="14"/>
        <c:spPr>
          <a:solidFill>
            <a:srgbClr val="1E2A78"/>
          </a:solidFill>
          <a:ln>
            <a:noFill/>
          </a:ln>
          <a:effectLst/>
        </c:spPr>
      </c:pivotFmt>
      <c:pivotFmt>
        <c:idx val="15"/>
        <c:spPr>
          <a:solidFill>
            <a:srgbClr val="1E2A78"/>
          </a:solidFill>
          <a:ln>
            <a:noFill/>
          </a:ln>
          <a:effectLst/>
        </c:spPr>
      </c:pivotFmt>
      <c:pivotFmt>
        <c:idx val="16"/>
        <c:spPr>
          <a:solidFill>
            <a:srgbClr val="1E2A78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Calculos!$AC$12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E2A78"/>
            </a:solidFill>
            <a:ln>
              <a:noFill/>
            </a:ln>
            <a:effectLst/>
          </c:spPr>
          <c:invertIfNegative val="0"/>
          <c:dLbls>
            <c:numFmt formatCode="&quot;R$&quot;#,##0.00_);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spc="-8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Calculos!$AB$13:$AB$24</c:f>
              <c:strCache>
                <c:ptCount val="11"/>
                <c:pt idx="0">
                  <c:v> São Paulo</c:v>
                </c:pt>
                <c:pt idx="1">
                  <c:v> Curitiba</c:v>
                </c:pt>
                <c:pt idx="2">
                  <c:v> São José dos Pinhais</c:v>
                </c:pt>
                <c:pt idx="3">
                  <c:v> Londrina</c:v>
                </c:pt>
                <c:pt idx="4">
                  <c:v> Camboriú</c:v>
                </c:pt>
                <c:pt idx="5">
                  <c:v> Joinville</c:v>
                </c:pt>
                <c:pt idx="6">
                  <c:v> Volta Redonda</c:v>
                </c:pt>
                <c:pt idx="7">
                  <c:v> Maringá</c:v>
                </c:pt>
                <c:pt idx="8">
                  <c:v> Campinas</c:v>
                </c:pt>
                <c:pt idx="9">
                  <c:v> Ponta Grossa</c:v>
                </c:pt>
                <c:pt idx="10">
                  <c:v> Rio de Janeiro</c:v>
                </c:pt>
              </c:strCache>
            </c:strRef>
          </c:cat>
          <c:val>
            <c:numRef>
              <c:f>Calculos!$AC$13:$AC$24</c:f>
              <c:numCache>
                <c:formatCode>"R$"#,##0.00_);\("R$"#,##0.00\)</c:formatCode>
                <c:ptCount val="11"/>
                <c:pt idx="0">
                  <c:v>10070</c:v>
                </c:pt>
                <c:pt idx="1">
                  <c:v>8650</c:v>
                </c:pt>
                <c:pt idx="2">
                  <c:v>6880</c:v>
                </c:pt>
                <c:pt idx="3">
                  <c:v>4980</c:v>
                </c:pt>
                <c:pt idx="4">
                  <c:v>3720</c:v>
                </c:pt>
                <c:pt idx="5">
                  <c:v>3360</c:v>
                </c:pt>
                <c:pt idx="6">
                  <c:v>2250</c:v>
                </c:pt>
                <c:pt idx="7">
                  <c:v>2000</c:v>
                </c:pt>
                <c:pt idx="8">
                  <c:v>1970</c:v>
                </c:pt>
                <c:pt idx="9">
                  <c:v>1350</c:v>
                </c:pt>
                <c:pt idx="10">
                  <c:v>1340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A7-4437-A419-A9F977020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4918559"/>
        <c:axId val="474890719"/>
      </c:barChart>
      <c:catAx>
        <c:axId val="47491855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E2A78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4890719"/>
        <c:crosses val="autoZero"/>
        <c:auto val="1"/>
        <c:lblAlgn val="ctr"/>
        <c:lblOffset val="100"/>
        <c:noMultiLvlLbl val="0"/>
      </c:catAx>
      <c:valAx>
        <c:axId val="474890719"/>
        <c:scaling>
          <c:orientation val="minMax"/>
        </c:scaling>
        <c:delete val="1"/>
        <c:axPos val="t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R$&quot;#,##0.00_);\(&quot;R$&quot;#,##0.00\)" sourceLinked="1"/>
        <c:majorTickMark val="none"/>
        <c:minorTickMark val="none"/>
        <c:tickLblPos val="nextTo"/>
        <c:crossAx val="474918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[dashboard_vendas_ecommerce.xlsx]Calculos!Tabela dinâmica14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pt-BR" sz="1400" b="0" i="0" u="none" strike="noStrike" kern="1200" spc="0" baseline="0">
                <a:solidFill>
                  <a:srgbClr val="1E2A78"/>
                </a:solidFill>
                <a:latin typeface="Segoe UI Black" panose="020B0A02040204020203" pitchFamily="34" charset="0"/>
                <a:ea typeface="Segoe UI Black" panose="020B0A02040204020203" pitchFamily="34" charset="0"/>
                <a:cs typeface="+mn-cs"/>
              </a:defRPr>
            </a:pPr>
            <a:r>
              <a:rPr lang="pt-BR" sz="1400" b="0" i="0" u="none" strike="noStrike" baseline="0"/>
              <a:t>Quantidade de pedidos por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pt-BR" sz="1400" b="0" i="0" u="none" strike="noStrike" kern="1200" spc="0" baseline="0">
              <a:solidFill>
                <a:srgbClr val="1E2A78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E2A7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1E2A7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1E2A7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1E2A7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1E2A7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1E2A7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3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Calculos!$AF$11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E2A7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Calculos!$AE$12:$AE$17</c:f>
              <c:strCache>
                <c:ptCount val="5"/>
                <c:pt idx="0">
                  <c:v> Pago</c:v>
                </c:pt>
                <c:pt idx="1">
                  <c:v> Entregue</c:v>
                </c:pt>
                <c:pt idx="2">
                  <c:v> Cancelado</c:v>
                </c:pt>
                <c:pt idx="3">
                  <c:v> Em Processamento</c:v>
                </c:pt>
                <c:pt idx="4">
                  <c:v> Enviado</c:v>
                </c:pt>
              </c:strCache>
            </c:strRef>
          </c:cat>
          <c:val>
            <c:numRef>
              <c:f>Calculos!$AF$12:$AF$17</c:f>
              <c:numCache>
                <c:formatCode>0</c:formatCode>
                <c:ptCount val="5"/>
                <c:pt idx="0">
                  <c:v>12</c:v>
                </c:pt>
                <c:pt idx="1">
                  <c:v>5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33-4259-8232-2E9C15828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4918559"/>
        <c:axId val="474890719"/>
      </c:barChart>
      <c:catAx>
        <c:axId val="47491855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E2A78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4890719"/>
        <c:crosses val="autoZero"/>
        <c:auto val="1"/>
        <c:lblAlgn val="ctr"/>
        <c:lblOffset val="100"/>
        <c:noMultiLvlLbl val="0"/>
      </c:catAx>
      <c:valAx>
        <c:axId val="474890719"/>
        <c:scaling>
          <c:orientation val="minMax"/>
        </c:scaling>
        <c:delete val="1"/>
        <c:axPos val="t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474918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[dashboard_vendas_ecommerce.xlsx]Calculos!Tabela dinâmica12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pt-BR" sz="1400" b="0" i="0" u="none" strike="noStrike" kern="1200" spc="0" baseline="0">
                <a:solidFill>
                  <a:srgbClr val="1E2A78"/>
                </a:solidFill>
                <a:latin typeface="Segoe UI Black" panose="020B0A02040204020203" pitchFamily="34" charset="0"/>
                <a:ea typeface="Segoe UI Black" panose="020B0A02040204020203" pitchFamily="34" charset="0"/>
                <a:cs typeface="+mn-cs"/>
              </a:defRPr>
            </a:pPr>
            <a:r>
              <a:rPr lang="pt-BR" sz="1400" b="0" i="0" u="none" strike="noStrike" baseline="0"/>
              <a:t>Faturamento por status do pedido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pt-BR" sz="1400" b="0" i="0" u="none" strike="noStrike" kern="1200" spc="0" baseline="0">
              <a:solidFill>
                <a:srgbClr val="1E2A78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E2A7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1E2A7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1E2A7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1E2A7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1E2A7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1E2A7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3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Calculos!$AI$11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E2A7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Calculos!$AH$12:$AH$17</c:f>
              <c:strCache>
                <c:ptCount val="5"/>
                <c:pt idx="0">
                  <c:v> Pago</c:v>
                </c:pt>
                <c:pt idx="1">
                  <c:v> Entregue</c:v>
                </c:pt>
                <c:pt idx="2">
                  <c:v> Em Processamento</c:v>
                </c:pt>
                <c:pt idx="3">
                  <c:v> Enviado</c:v>
                </c:pt>
                <c:pt idx="4">
                  <c:v> Cancelado</c:v>
                </c:pt>
              </c:strCache>
            </c:strRef>
          </c:cat>
          <c:val>
            <c:numRef>
              <c:f>Calculos!$AI$12:$AI$17</c:f>
              <c:numCache>
                <c:formatCode>"R$"\ #,##0.00</c:formatCode>
                <c:ptCount val="5"/>
                <c:pt idx="0">
                  <c:v>23900</c:v>
                </c:pt>
                <c:pt idx="1">
                  <c:v>10870</c:v>
                </c:pt>
                <c:pt idx="2">
                  <c:v>3530</c:v>
                </c:pt>
                <c:pt idx="3">
                  <c:v>2000</c:v>
                </c:pt>
                <c:pt idx="4">
                  <c:v>1520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6E-4A8D-AED7-7508D737E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4918559"/>
        <c:axId val="474890719"/>
      </c:barChart>
      <c:catAx>
        <c:axId val="47491855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E2A78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4890719"/>
        <c:crosses val="autoZero"/>
        <c:auto val="1"/>
        <c:lblAlgn val="ctr"/>
        <c:lblOffset val="100"/>
        <c:noMultiLvlLbl val="0"/>
      </c:catAx>
      <c:valAx>
        <c:axId val="474890719"/>
        <c:scaling>
          <c:orientation val="minMax"/>
        </c:scaling>
        <c:delete val="1"/>
        <c:axPos val="t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crossAx val="474918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217245</xdr:colOff>
      <xdr:row>7</xdr:row>
      <xdr:rowOff>984</xdr:rowOff>
    </xdr:from>
    <xdr:to>
      <xdr:col>4</xdr:col>
      <xdr:colOff>343433</xdr:colOff>
      <xdr:row>10</xdr:row>
      <xdr:rowOff>68293</xdr:rowOff>
    </xdr:to>
    <xdr:sp macro="" textlink="Calculos!M72">
      <xdr:nvSpPr>
        <xdr:cNvPr id="4" name="CaixaDeTexto 2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3129174" y="1429734"/>
          <a:ext cx="2221688" cy="6796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fld id="{747012C6-9795-427A-A91B-252AAA3FBD56}" type="TxLink">
            <a:rPr lang="en-US" sz="2400" b="1" i="0" u="none" strike="noStrike" baseline="0"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Segoe UI Light" panose="020B0502040204020203" pitchFamily="34" charset="0"/>
            </a:rPr>
            <a:pPr marL="0" indent="0" algn="ctr"/>
            <a:t> </a:t>
          </a:fld>
          <a:endParaRPr lang="pt-BR" sz="2400" b="1" i="0" u="none" strike="noStrike" baseline="0">
            <a:solidFill>
              <a:schemeClr val="bg1"/>
            </a:solidFill>
            <a:latin typeface="Segoe UI Black" panose="020B0A02040204020203" pitchFamily="34" charset="0"/>
            <a:ea typeface="Segoe UI Black" panose="020B0A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0</xdr:col>
      <xdr:colOff>54428</xdr:colOff>
      <xdr:row>4</xdr:row>
      <xdr:rowOff>34636</xdr:rowOff>
    </xdr:from>
    <xdr:to>
      <xdr:col>1</xdr:col>
      <xdr:colOff>519545</xdr:colOff>
      <xdr:row>40</xdr:row>
      <xdr:rowOff>190500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F6A7E59F-2996-E57E-E0C0-62487012B14C}"/>
            </a:ext>
          </a:extLst>
        </xdr:cNvPr>
        <xdr:cNvGrpSpPr/>
      </xdr:nvGrpSpPr>
      <xdr:grpSpPr>
        <a:xfrm>
          <a:off x="54428" y="851065"/>
          <a:ext cx="2642260" cy="7503721"/>
          <a:chOff x="1" y="2"/>
          <a:chExt cx="2147454" cy="9375320"/>
        </a:xfrm>
      </xdr:grpSpPr>
      <xdr:sp macro="" textlink="">
        <xdr:nvSpPr>
          <xdr:cNvPr id="31" name="Retângulo: Cantos Arredondados 30">
            <a:extLst>
              <a:ext uri="{FF2B5EF4-FFF2-40B4-BE49-F238E27FC236}">
                <a16:creationId xmlns:a16="http://schemas.microsoft.com/office/drawing/2014/main" id="{00000000-0008-0000-0300-00001F000000}"/>
              </a:ext>
            </a:extLst>
          </xdr:cNvPr>
          <xdr:cNvSpPr/>
        </xdr:nvSpPr>
        <xdr:spPr>
          <a:xfrm>
            <a:off x="1" y="2"/>
            <a:ext cx="2147454" cy="9375320"/>
          </a:xfrm>
          <a:prstGeom prst="roundRect">
            <a:avLst>
              <a:gd name="adj" fmla="val 5264"/>
            </a:avLst>
          </a:prstGeom>
          <a:solidFill>
            <a:schemeClr val="bg1"/>
          </a:solidFill>
          <a:ln w="6350">
            <a:solidFill>
              <a:srgbClr val="C7CBD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40" name="Agrupar 39">
            <a:extLst>
              <a:ext uri="{FF2B5EF4-FFF2-40B4-BE49-F238E27FC236}">
                <a16:creationId xmlns:a16="http://schemas.microsoft.com/office/drawing/2014/main" id="{00000000-0008-0000-0300-000028000000}"/>
              </a:ext>
            </a:extLst>
          </xdr:cNvPr>
          <xdr:cNvGrpSpPr/>
        </xdr:nvGrpSpPr>
        <xdr:grpSpPr>
          <a:xfrm>
            <a:off x="162050" y="136072"/>
            <a:ext cx="1823357" cy="9018912"/>
            <a:chOff x="27350358" y="495301"/>
            <a:chExt cx="1823357" cy="10105693"/>
          </a:xfrm>
        </xdr:grpSpPr>
        <mc:AlternateContent xmlns:mc="http://schemas.openxmlformats.org/markup-compatibility/2006" xmlns:a14="http://schemas.microsoft.com/office/drawing/2010/main">
          <mc:Choice Requires="a14">
            <xdr:graphicFrame macro="">
              <xdr:nvGraphicFramePr>
                <xdr:cNvPr id="35" name="ano_pedido">
                  <a:extLst>
                    <a:ext uri="{FF2B5EF4-FFF2-40B4-BE49-F238E27FC236}">
                      <a16:creationId xmlns:a16="http://schemas.microsoft.com/office/drawing/2014/main" id="{00000000-0008-0000-0300-000023000000}"/>
                    </a:ext>
                  </a:extLst>
                </xdr:cNvPr>
                <xdr:cNvGraphicFramePr/>
              </xdr:nvGraphicFramePr>
              <xdr:xfrm>
                <a:off x="27350358" y="495301"/>
                <a:ext cx="1823357" cy="849085"/>
              </xdr:xfrm>
              <a:graphic>
                <a:graphicData uri="http://schemas.microsoft.com/office/drawing/2010/slicer">
                  <sle:slicer xmlns:sle="http://schemas.microsoft.com/office/drawing/2010/slicer" name="ano_pedido"/>
                </a:graphicData>
              </a:graphic>
            </xdr:graphicFrame>
          </mc:Choice>
          <mc:Fallback xmlns=""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253816" y="959971"/>
                  <a:ext cx="2243486" cy="606499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pt-BR" sz="1100"/>
  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  </a:r>
                </a:p>
              </xdr:txBody>
            </xdr:sp>
          </mc:Fallback>
        </mc:AlternateContent>
        <mc:AlternateContent xmlns:mc="http://schemas.openxmlformats.org/markup-compatibility/2006" xmlns:a14="http://schemas.microsoft.com/office/drawing/2010/main">
          <mc:Choice Requires="a14">
            <xdr:graphicFrame macro="">
              <xdr:nvGraphicFramePr>
                <xdr:cNvPr id="36" name="mes_pedido">
                  <a:extLst>
                    <a:ext uri="{FF2B5EF4-FFF2-40B4-BE49-F238E27FC236}">
                      <a16:creationId xmlns:a16="http://schemas.microsoft.com/office/drawing/2014/main" id="{00000000-0008-0000-0300-000024000000}"/>
                    </a:ext>
                  </a:extLst>
                </xdr:cNvPr>
                <xdr:cNvGraphicFramePr/>
              </xdr:nvGraphicFramePr>
              <xdr:xfrm>
                <a:off x="27350358" y="1440574"/>
                <a:ext cx="1823357" cy="1113063"/>
              </xdr:xfrm>
              <a:graphic>
                <a:graphicData uri="http://schemas.microsoft.com/office/drawing/2010/slicer">
                  <sle:slicer xmlns:sle="http://schemas.microsoft.com/office/drawing/2010/slicer" name="mes_pedido"/>
                </a:graphicData>
              </a:graphic>
            </xdr:graphicFrame>
          </mc:Choice>
          <mc:Fallback xmlns=""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253816" y="1635176"/>
                  <a:ext cx="2243486" cy="795057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pt-BR" sz="1100"/>
  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  </a:r>
                </a:p>
              </xdr:txBody>
            </xdr:sp>
          </mc:Fallback>
        </mc:AlternateContent>
        <mc:AlternateContent xmlns:mc="http://schemas.openxmlformats.org/markup-compatibility/2006" xmlns:a14="http://schemas.microsoft.com/office/drawing/2010/main">
          <mc:Choice Requires="a14">
            <xdr:graphicFrame macro="">
              <xdr:nvGraphicFramePr>
                <xdr:cNvPr id="37" name="status_pedido">
                  <a:extLst>
                    <a:ext uri="{FF2B5EF4-FFF2-40B4-BE49-F238E27FC236}">
                      <a16:creationId xmlns:a16="http://schemas.microsoft.com/office/drawing/2014/main" id="{00000000-0008-0000-0300-000025000000}"/>
                    </a:ext>
                  </a:extLst>
                </xdr:cNvPr>
                <xdr:cNvGraphicFramePr/>
              </xdr:nvGraphicFramePr>
              <xdr:xfrm>
                <a:off x="27350358" y="2649826"/>
                <a:ext cx="1823357" cy="2043792"/>
              </xdr:xfrm>
              <a:graphic>
                <a:graphicData uri="http://schemas.microsoft.com/office/drawing/2010/slicer">
                  <sle:slicer xmlns:sle="http://schemas.microsoft.com/office/drawing/2010/slicer" name="status_pedido"/>
                </a:graphicData>
              </a:graphic>
            </xdr:graphicFrame>
          </mc:Choice>
          <mc:Fallback xmlns=""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253816" y="2498941"/>
                  <a:ext cx="2243486" cy="1459874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pt-BR" sz="1100"/>
  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  </a:r>
                </a:p>
              </xdr:txBody>
            </xdr:sp>
          </mc:Fallback>
        </mc:AlternateContent>
        <mc:AlternateContent xmlns:mc="http://schemas.openxmlformats.org/markup-compatibility/2006" xmlns:a14="http://schemas.microsoft.com/office/drawing/2010/main">
          <mc:Choice Requires="a14">
            <xdr:graphicFrame macro="">
              <xdr:nvGraphicFramePr>
                <xdr:cNvPr id="38" name="forma_pagamento">
                  <a:extLst>
                    <a:ext uri="{FF2B5EF4-FFF2-40B4-BE49-F238E27FC236}">
                      <a16:creationId xmlns:a16="http://schemas.microsoft.com/office/drawing/2014/main" id="{00000000-0008-0000-0300-000026000000}"/>
                    </a:ext>
                  </a:extLst>
                </xdr:cNvPr>
                <xdr:cNvGraphicFramePr/>
              </xdr:nvGraphicFramePr>
              <xdr:xfrm>
                <a:off x="27350358" y="4789806"/>
                <a:ext cx="1823357" cy="2016579"/>
              </xdr:xfrm>
              <a:graphic>
                <a:graphicData uri="http://schemas.microsoft.com/office/drawing/2010/slicer">
                  <sle:slicer xmlns:sle="http://schemas.microsoft.com/office/drawing/2010/slicer" name="forma_pagamento"/>
                </a:graphicData>
              </a:graphic>
            </xdr:graphicFrame>
          </mc:Choice>
          <mc:Fallback xmlns=""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253816" y="4027522"/>
                  <a:ext cx="2243486" cy="1440436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pt-BR" sz="1100"/>
  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  </a:r>
                </a:p>
              </xdr:txBody>
            </xdr:sp>
          </mc:Fallback>
        </mc:AlternateContent>
        <mc:AlternateContent xmlns:mc="http://schemas.openxmlformats.org/markup-compatibility/2006" xmlns:a14="http://schemas.microsoft.com/office/drawing/2010/main">
          <mc:Choice Requires="a14">
            <xdr:graphicFrame macro="">
              <xdr:nvGraphicFramePr>
                <xdr:cNvPr id="39" name="categoria_produto">
                  <a:extLst>
                    <a:ext uri="{FF2B5EF4-FFF2-40B4-BE49-F238E27FC236}">
                      <a16:creationId xmlns:a16="http://schemas.microsoft.com/office/drawing/2014/main" id="{00000000-0008-0000-0300-000027000000}"/>
                    </a:ext>
                  </a:extLst>
                </xdr:cNvPr>
                <xdr:cNvGraphicFramePr/>
              </xdr:nvGraphicFramePr>
              <xdr:xfrm>
                <a:off x="27350358" y="6902575"/>
                <a:ext cx="1823357" cy="3698419"/>
              </xdr:xfrm>
              <a:graphic>
                <a:graphicData uri="http://schemas.microsoft.com/office/drawing/2010/slicer">
                  <sle:slicer xmlns:sle="http://schemas.microsoft.com/office/drawing/2010/slicer" name="categoria_produto"/>
                </a:graphicData>
              </a:graphic>
            </xdr:graphicFrame>
          </mc:Choice>
          <mc:Fallback xmlns=""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253816" y="5536666"/>
                  <a:ext cx="2243486" cy="2641768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pt-BR" sz="1100"/>
  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  </a:r>
                </a:p>
              </xdr:txBody>
            </xdr:sp>
          </mc:Fallback>
        </mc:AlternateContent>
      </xdr:grpSp>
    </xdr:grpSp>
    <xdr:clientData/>
  </xdr:twoCellAnchor>
  <xdr:twoCellAnchor>
    <xdr:from>
      <xdr:col>1</xdr:col>
      <xdr:colOff>668827</xdr:colOff>
      <xdr:row>5</xdr:row>
      <xdr:rowOff>1</xdr:rowOff>
    </xdr:from>
    <xdr:to>
      <xdr:col>17</xdr:col>
      <xdr:colOff>368827</xdr:colOff>
      <xdr:row>11</xdr:row>
      <xdr:rowOff>154126</xdr:rowOff>
    </xdr:to>
    <xdr:sp macro="" textlink="">
      <xdr:nvSpPr>
        <xdr:cNvPr id="33" name="Retângulo: Cantos Arredondados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/>
      </xdr:nvSpPr>
      <xdr:spPr>
        <a:xfrm>
          <a:off x="2833600" y="1039092"/>
          <a:ext cx="14922682" cy="1401034"/>
        </a:xfrm>
        <a:prstGeom prst="roundRect">
          <a:avLst>
            <a:gd name="adj" fmla="val 6990"/>
          </a:avLst>
        </a:prstGeom>
        <a:solidFill>
          <a:schemeClr val="bg1"/>
        </a:solidFill>
        <a:ln w="28575">
          <a:solidFill>
            <a:srgbClr val="C7CBD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</xdr:col>
      <xdr:colOff>348731</xdr:colOff>
      <xdr:row>5</xdr:row>
      <xdr:rowOff>170607</xdr:rowOff>
    </xdr:from>
    <xdr:to>
      <xdr:col>6</xdr:col>
      <xdr:colOff>589095</xdr:colOff>
      <xdr:row>11</xdr:row>
      <xdr:rowOff>9562</xdr:rowOff>
    </xdr:to>
    <xdr:sp macro="" textlink="Calculos!$AK$13">
      <xdr:nvSpPr>
        <xdr:cNvPr id="2" name="Retângulo: Cantos Arredondados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3240867" y="1209698"/>
          <a:ext cx="3790592" cy="1085864"/>
        </a:xfrm>
        <a:prstGeom prst="roundRect">
          <a:avLst>
            <a:gd name="adj" fmla="val 4634"/>
          </a:avLst>
        </a:prstGeom>
        <a:solidFill>
          <a:srgbClr val="1E2A78"/>
        </a:solidFill>
        <a:effectLst>
          <a:outerShdw blurRad="50800" dist="38100" dir="2700000" algn="tl" rotWithShape="0">
            <a:prstClr val="black">
              <a:alpha val="40000"/>
            </a:prstClr>
          </a:outerShdw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2D38D9B8-148B-4EE1-8D5F-746B3D164EA0}" type="TxLink">
            <a:rPr lang="en-US" sz="4800" b="0" i="0" u="none" strike="noStrike">
              <a:solidFill>
                <a:schemeClr val="bg1"/>
              </a:solidFill>
              <a:effectLst/>
              <a:latin typeface="Aptos Narrow"/>
            </a:rPr>
            <a:pPr algn="ctr"/>
            <a:t>R$ 46.570,00</a:t>
          </a:fld>
          <a:endParaRPr lang="en-US" sz="4800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2</xdr:col>
      <xdr:colOff>1074028</xdr:colOff>
      <xdr:row>5</xdr:row>
      <xdr:rowOff>170607</xdr:rowOff>
    </xdr:from>
    <xdr:to>
      <xdr:col>5</xdr:col>
      <xdr:colOff>521892</xdr:colOff>
      <xdr:row>7</xdr:row>
      <xdr:rowOff>116205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3966164" y="1209698"/>
          <a:ext cx="2340001" cy="3612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2200" b="1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Faturamento</a:t>
          </a:r>
          <a:r>
            <a:rPr lang="pt-BR" sz="2200" b="1" baseline="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 Total</a:t>
          </a:r>
        </a:p>
      </xdr:txBody>
    </xdr:sp>
    <xdr:clientData/>
  </xdr:twoCellAnchor>
  <xdr:twoCellAnchor editAs="absolute">
    <xdr:from>
      <xdr:col>6</xdr:col>
      <xdr:colOff>723553</xdr:colOff>
      <xdr:row>5</xdr:row>
      <xdr:rowOff>170607</xdr:rowOff>
    </xdr:from>
    <xdr:to>
      <xdr:col>9</xdr:col>
      <xdr:colOff>1496</xdr:colOff>
      <xdr:row>11</xdr:row>
      <xdr:rowOff>9562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7E6576E5-2E37-3411-795F-9CFD0B48D888}"/>
            </a:ext>
          </a:extLst>
        </xdr:cNvPr>
        <xdr:cNvGrpSpPr/>
      </xdr:nvGrpSpPr>
      <xdr:grpSpPr>
        <a:xfrm>
          <a:off x="7186946" y="1191143"/>
          <a:ext cx="2924657" cy="1063598"/>
          <a:chOff x="5420694" y="1291509"/>
          <a:chExt cx="1801389" cy="1105757"/>
        </a:xfrm>
      </xdr:grpSpPr>
      <xdr:sp macro="" textlink="Calculos!$AN$12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/>
        </xdr:nvSpPr>
        <xdr:spPr>
          <a:xfrm>
            <a:off x="5420694" y="1291509"/>
            <a:ext cx="1801389" cy="1105757"/>
          </a:xfrm>
          <a:prstGeom prst="roundRect">
            <a:avLst>
              <a:gd name="adj" fmla="val 4634"/>
            </a:avLst>
          </a:prstGeom>
          <a:solidFill>
            <a:srgbClr val="5A33FF"/>
          </a:solidFill>
          <a:effectLst>
            <a:outerShdw blurRad="50800" dist="38100" dir="2700000" algn="tl" rotWithShape="0">
              <a:prstClr val="black">
                <a:alpha val="40000"/>
              </a:prstClr>
            </a:outerShdw>
            <a:softEdge rad="0"/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C347CF17-C090-498F-8768-31FCB5D0949E}" type="TxLink">
              <a:rPr lang="en-US" sz="4800" b="0" i="0" u="none" strike="noStrike">
                <a:solidFill>
                  <a:schemeClr val="bg1"/>
                </a:solidFill>
                <a:effectLst/>
                <a:latin typeface="Aptos Narrow"/>
                <a:ea typeface="Segoe UI Black" panose="020B0A02040204020203" pitchFamily="34" charset="0"/>
              </a:rPr>
              <a:pPr algn="ctr"/>
              <a:t>25</a:t>
            </a:fld>
            <a:endParaRPr lang="en-US" sz="4800">
              <a:solidFill>
                <a:schemeClr val="bg1"/>
              </a:solidFill>
              <a:effectLst/>
              <a:latin typeface="Segoe UI Black" panose="020B0A02040204020203" pitchFamily="34" charset="0"/>
              <a:ea typeface="Segoe UI Black" panose="020B0A02040204020203" pitchFamily="34" charset="0"/>
            </a:endParaRPr>
          </a:p>
        </xdr:txBody>
      </xdr:sp>
      <xdr:sp macro="" textlink="">
        <xdr:nvSpPr>
          <xdr:cNvPr id="8" name="CaixaDeTexto 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 txBox="1"/>
        </xdr:nvSpPr>
        <xdr:spPr>
          <a:xfrm>
            <a:off x="5653924" y="1291509"/>
            <a:ext cx="1334929" cy="36785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pt-BR" sz="2200" b="1">
                <a:solidFill>
                  <a:schemeClr val="bg1"/>
                </a:solidFill>
                <a:latin typeface="Segoe UI Light" panose="020B0502040204020203" pitchFamily="34" charset="0"/>
                <a:cs typeface="Segoe UI Light" panose="020B0502040204020203" pitchFamily="34" charset="0"/>
              </a:rPr>
              <a:t>Total de Pedidos</a:t>
            </a:r>
            <a:endParaRPr lang="pt-BR" sz="2200" b="1" baseline="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endParaRPr>
          </a:p>
        </xdr:txBody>
      </xdr:sp>
    </xdr:grpSp>
    <xdr:clientData/>
  </xdr:twoCellAnchor>
  <xdr:twoCellAnchor editAs="absolute">
    <xdr:from>
      <xdr:col>9</xdr:col>
      <xdr:colOff>135954</xdr:colOff>
      <xdr:row>5</xdr:row>
      <xdr:rowOff>170607</xdr:rowOff>
    </xdr:from>
    <xdr:to>
      <xdr:col>12</xdr:col>
      <xdr:colOff>570348</xdr:colOff>
      <xdr:row>11</xdr:row>
      <xdr:rowOff>9562</xdr:rowOff>
    </xdr:to>
    <xdr:grpSp>
      <xdr:nvGrpSpPr>
        <xdr:cNvPr id="32" name="Agrupar 31">
          <a:extLst>
            <a:ext uri="{FF2B5EF4-FFF2-40B4-BE49-F238E27FC236}">
              <a16:creationId xmlns:a16="http://schemas.microsoft.com/office/drawing/2014/main" id="{1D14A1C5-1C7A-EDD1-E5CA-294F7DDD9AA2}"/>
            </a:ext>
          </a:extLst>
        </xdr:cNvPr>
        <xdr:cNvGrpSpPr/>
      </xdr:nvGrpSpPr>
      <xdr:grpSpPr>
        <a:xfrm>
          <a:off x="10246061" y="1191143"/>
          <a:ext cx="3509608" cy="1063598"/>
          <a:chOff x="8031286" y="1291509"/>
          <a:chExt cx="2332420" cy="1105757"/>
        </a:xfrm>
      </xdr:grpSpPr>
      <xdr:sp macro="" textlink="Calculos!M3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/>
        </xdr:nvSpPr>
        <xdr:spPr>
          <a:xfrm>
            <a:off x="8031286" y="1291509"/>
            <a:ext cx="2332420" cy="1105757"/>
          </a:xfrm>
          <a:prstGeom prst="roundRect">
            <a:avLst>
              <a:gd name="adj" fmla="val 4634"/>
            </a:avLst>
          </a:prstGeom>
          <a:solidFill>
            <a:srgbClr val="1E2A78"/>
          </a:solidFill>
          <a:effectLst>
            <a:outerShdw blurRad="50800" dist="38100" dir="2700000" algn="tl" rotWithShape="0">
              <a:prstClr val="black">
                <a:alpha val="40000"/>
              </a:prstClr>
            </a:outerShdw>
            <a:softEdge rad="0"/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marL="0" indent="0" algn="ctr"/>
            <a:fld id="{583A2E7B-2593-45F7-AD3F-06EA671EE2F6}" type="TxLink">
              <a:rPr lang="en-US" sz="4800" b="0" i="0" u="none" strike="noStrike">
                <a:solidFill>
                  <a:schemeClr val="bg1"/>
                </a:solidFill>
                <a:effectLst/>
                <a:latin typeface="Aptos Narrow"/>
                <a:ea typeface="+mn-ea"/>
                <a:cs typeface="+mn-cs"/>
              </a:rPr>
              <a:pPr marL="0" indent="0" algn="ctr"/>
              <a:t>R$ 1.862,80</a:t>
            </a:fld>
            <a:endParaRPr lang="en-US" sz="4800" b="0" i="0" u="none" strike="noStrike">
              <a:solidFill>
                <a:schemeClr val="bg1"/>
              </a:solidFill>
              <a:effectLst/>
              <a:latin typeface="Aptos Narrow"/>
              <a:ea typeface="+mn-ea"/>
              <a:cs typeface="+mn-cs"/>
            </a:endParaRPr>
          </a:p>
        </xdr:txBody>
      </xdr:sp>
      <xdr:sp macro="" textlink="">
        <xdr:nvSpPr>
          <xdr:cNvPr id="12" name="CaixaDeTexto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 txBox="1"/>
        </xdr:nvSpPr>
        <xdr:spPr>
          <a:xfrm>
            <a:off x="8633670" y="1291509"/>
            <a:ext cx="1127651" cy="36785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pt-BR" sz="2200" b="1">
                <a:solidFill>
                  <a:schemeClr val="bg1"/>
                </a:solidFill>
                <a:latin typeface="Segoe UI Light" panose="020B0502040204020203" pitchFamily="34" charset="0"/>
                <a:cs typeface="Segoe UI Light" panose="020B0502040204020203" pitchFamily="34" charset="0"/>
              </a:rPr>
              <a:t>Ticket Médio</a:t>
            </a:r>
            <a:endParaRPr lang="pt-BR" sz="2200" b="1" baseline="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endParaRPr>
          </a:p>
        </xdr:txBody>
      </xdr:sp>
    </xdr:grpSp>
    <xdr:clientData/>
  </xdr:twoCellAnchor>
  <xdr:twoCellAnchor editAs="absolute">
    <xdr:from>
      <xdr:col>1</xdr:col>
      <xdr:colOff>675787</xdr:colOff>
      <xdr:row>12</xdr:row>
      <xdr:rowOff>116080</xdr:rowOff>
    </xdr:from>
    <xdr:to>
      <xdr:col>5</xdr:col>
      <xdr:colOff>628449</xdr:colOff>
      <xdr:row>25</xdr:row>
      <xdr:rowOff>197205</xdr:rowOff>
    </xdr:to>
    <xdr:grpSp>
      <xdr:nvGrpSpPr>
        <xdr:cNvPr id="73" name="Agrupar 72">
          <a:extLst>
            <a:ext uri="{FF2B5EF4-FFF2-40B4-BE49-F238E27FC236}">
              <a16:creationId xmlns:a16="http://schemas.microsoft.com/office/drawing/2014/main" id="{59B1F6F2-6058-2CD9-BADC-6D9AF14194D1}"/>
            </a:ext>
          </a:extLst>
        </xdr:cNvPr>
        <xdr:cNvGrpSpPr/>
      </xdr:nvGrpSpPr>
      <xdr:grpSpPr>
        <a:xfrm>
          <a:off x="2852930" y="2565366"/>
          <a:ext cx="3585769" cy="2734518"/>
          <a:chOff x="2852930" y="2565366"/>
          <a:chExt cx="3585769" cy="2734518"/>
        </a:xfrm>
      </xdr:grpSpPr>
      <xdr:sp macro="" textlink="">
        <xdr:nvSpPr>
          <xdr:cNvPr id="22" name="Retângulo: Cantos Arredondados 21">
            <a:extLst>
              <a:ext uri="{FF2B5EF4-FFF2-40B4-BE49-F238E27FC236}">
                <a16:creationId xmlns:a16="http://schemas.microsoft.com/office/drawing/2014/main" id="{00000000-0008-0000-0300-000016000000}"/>
              </a:ext>
            </a:extLst>
          </xdr:cNvPr>
          <xdr:cNvSpPr/>
        </xdr:nvSpPr>
        <xdr:spPr>
          <a:xfrm>
            <a:off x="2852930" y="2565366"/>
            <a:ext cx="3585769" cy="2734518"/>
          </a:xfrm>
          <a:prstGeom prst="roundRect">
            <a:avLst>
              <a:gd name="adj" fmla="val 5031"/>
            </a:avLst>
          </a:prstGeom>
          <a:solidFill>
            <a:schemeClr val="bg1"/>
          </a:solidFill>
          <a:ln w="28575">
            <a:solidFill>
              <a:srgbClr val="C7CBD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41" name="Gráfico 40">
            <a:extLst>
              <a:ext uri="{FF2B5EF4-FFF2-40B4-BE49-F238E27FC236}">
                <a16:creationId xmlns:a16="http://schemas.microsoft.com/office/drawing/2014/main" id="{00000000-0008-0000-0300-000029000000}"/>
              </a:ext>
            </a:extLst>
          </xdr:cNvPr>
          <xdr:cNvGraphicFramePr>
            <a:graphicFrameLocks/>
          </xdr:cNvGraphicFramePr>
        </xdr:nvGraphicFramePr>
        <xdr:xfrm>
          <a:off x="2899814" y="2600625"/>
          <a:ext cx="3492000" cy="2664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 editAs="absolute">
    <xdr:from>
      <xdr:col>6</xdr:col>
      <xdr:colOff>165463</xdr:colOff>
      <xdr:row>12</xdr:row>
      <xdr:rowOff>117780</xdr:rowOff>
    </xdr:from>
    <xdr:to>
      <xdr:col>9</xdr:col>
      <xdr:colOff>128645</xdr:colOff>
      <xdr:row>25</xdr:row>
      <xdr:rowOff>185627</xdr:rowOff>
    </xdr:to>
    <xdr:grpSp>
      <xdr:nvGrpSpPr>
        <xdr:cNvPr id="74" name="Agrupar 73">
          <a:extLst>
            <a:ext uri="{FF2B5EF4-FFF2-40B4-BE49-F238E27FC236}">
              <a16:creationId xmlns:a16="http://schemas.microsoft.com/office/drawing/2014/main" id="{2C9ED426-7FA2-80D7-6573-44AF9A9CF4EF}"/>
            </a:ext>
          </a:extLst>
        </xdr:cNvPr>
        <xdr:cNvGrpSpPr/>
      </xdr:nvGrpSpPr>
      <xdr:grpSpPr>
        <a:xfrm>
          <a:off x="6628856" y="2567066"/>
          <a:ext cx="3609896" cy="2721240"/>
          <a:chOff x="6628856" y="2567066"/>
          <a:chExt cx="3609896" cy="2721240"/>
        </a:xfrm>
      </xdr:grpSpPr>
      <xdr:sp macro="" textlink="">
        <xdr:nvSpPr>
          <xdr:cNvPr id="23" name="Retângulo: Cantos Arredondados 22">
            <a:extLst>
              <a:ext uri="{FF2B5EF4-FFF2-40B4-BE49-F238E27FC236}">
                <a16:creationId xmlns:a16="http://schemas.microsoft.com/office/drawing/2014/main" id="{00000000-0008-0000-0300-000017000000}"/>
              </a:ext>
            </a:extLst>
          </xdr:cNvPr>
          <xdr:cNvSpPr/>
        </xdr:nvSpPr>
        <xdr:spPr>
          <a:xfrm>
            <a:off x="6628856" y="2567066"/>
            <a:ext cx="3609896" cy="2721240"/>
          </a:xfrm>
          <a:prstGeom prst="roundRect">
            <a:avLst>
              <a:gd name="adj" fmla="val 5031"/>
            </a:avLst>
          </a:prstGeom>
          <a:solidFill>
            <a:schemeClr val="bg1"/>
          </a:solidFill>
          <a:ln w="28575">
            <a:solidFill>
              <a:srgbClr val="C7CBD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45" name="Gráfico 44">
            <a:extLst>
              <a:ext uri="{FF2B5EF4-FFF2-40B4-BE49-F238E27FC236}">
                <a16:creationId xmlns:a16="http://schemas.microsoft.com/office/drawing/2014/main" id="{00000000-0008-0000-0300-00002D000000}"/>
              </a:ext>
            </a:extLst>
          </xdr:cNvPr>
          <xdr:cNvGraphicFramePr>
            <a:graphicFrameLocks/>
          </xdr:cNvGraphicFramePr>
        </xdr:nvGraphicFramePr>
        <xdr:xfrm>
          <a:off x="6687804" y="2595686"/>
          <a:ext cx="3492000" cy="2664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1</xdr:col>
      <xdr:colOff>682687</xdr:colOff>
      <xdr:row>26</xdr:row>
      <xdr:rowOff>139562</xdr:rowOff>
    </xdr:from>
    <xdr:to>
      <xdr:col>5</xdr:col>
      <xdr:colOff>633782</xdr:colOff>
      <xdr:row>40</xdr:row>
      <xdr:rowOff>11757</xdr:rowOff>
    </xdr:to>
    <xdr:sp macro="" textlink="">
      <xdr:nvSpPr>
        <xdr:cNvPr id="60" name="Retângulo: Cantos Arredondados 59">
          <a:extLst>
            <a:ext uri="{FF2B5EF4-FFF2-40B4-BE49-F238E27FC236}">
              <a16:creationId xmlns:a16="http://schemas.microsoft.com/office/drawing/2014/main" id="{CFABF8EF-6F48-3655-ADFD-8C20DA19EF7E}"/>
            </a:ext>
          </a:extLst>
        </xdr:cNvPr>
        <xdr:cNvSpPr/>
      </xdr:nvSpPr>
      <xdr:spPr>
        <a:xfrm>
          <a:off x="2847460" y="5542835"/>
          <a:ext cx="3570595" cy="2781649"/>
        </a:xfrm>
        <a:prstGeom prst="roundRect">
          <a:avLst>
            <a:gd name="adj" fmla="val 5031"/>
          </a:avLst>
        </a:prstGeom>
        <a:solidFill>
          <a:schemeClr val="bg1"/>
        </a:solidFill>
        <a:ln w="28575">
          <a:solidFill>
            <a:srgbClr val="C7CBD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6</xdr:col>
      <xdr:colOff>163697</xdr:colOff>
      <xdr:row>26</xdr:row>
      <xdr:rowOff>146630</xdr:rowOff>
    </xdr:from>
    <xdr:to>
      <xdr:col>9</xdr:col>
      <xdr:colOff>125194</xdr:colOff>
      <xdr:row>40</xdr:row>
      <xdr:rowOff>4690</xdr:rowOff>
    </xdr:to>
    <xdr:sp macro="" textlink="">
      <xdr:nvSpPr>
        <xdr:cNvPr id="58" name="Retângulo: Cantos Arredondados 57">
          <a:extLst>
            <a:ext uri="{FF2B5EF4-FFF2-40B4-BE49-F238E27FC236}">
              <a16:creationId xmlns:a16="http://schemas.microsoft.com/office/drawing/2014/main" id="{83F2CBFE-C227-552D-ECD2-CB91BD105525}"/>
            </a:ext>
          </a:extLst>
        </xdr:cNvPr>
        <xdr:cNvSpPr/>
      </xdr:nvSpPr>
      <xdr:spPr>
        <a:xfrm>
          <a:off x="6618285" y="5682336"/>
          <a:ext cx="3603409" cy="2838825"/>
        </a:xfrm>
        <a:prstGeom prst="roundRect">
          <a:avLst>
            <a:gd name="adj" fmla="val 5031"/>
          </a:avLst>
        </a:prstGeom>
        <a:solidFill>
          <a:schemeClr val="bg1"/>
        </a:solidFill>
        <a:ln w="28575">
          <a:solidFill>
            <a:srgbClr val="C7CBD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9</xdr:col>
      <xdr:colOff>313220</xdr:colOff>
      <xdr:row>26</xdr:row>
      <xdr:rowOff>139778</xdr:rowOff>
    </xdr:from>
    <xdr:to>
      <xdr:col>12</xdr:col>
      <xdr:colOff>818458</xdr:colOff>
      <xdr:row>40</xdr:row>
      <xdr:rowOff>11542</xdr:rowOff>
    </xdr:to>
    <xdr:sp macro="" textlink="">
      <xdr:nvSpPr>
        <xdr:cNvPr id="56" name="Retângulo: Cantos Arredondados 55">
          <a:extLst>
            <a:ext uri="{FF2B5EF4-FFF2-40B4-BE49-F238E27FC236}">
              <a16:creationId xmlns:a16="http://schemas.microsoft.com/office/drawing/2014/main" id="{0FBD5401-7A67-D0CC-B29C-CE90FFE623A1}"/>
            </a:ext>
          </a:extLst>
        </xdr:cNvPr>
        <xdr:cNvSpPr/>
      </xdr:nvSpPr>
      <xdr:spPr>
        <a:xfrm>
          <a:off x="10409720" y="5675484"/>
          <a:ext cx="3575650" cy="2852529"/>
        </a:xfrm>
        <a:prstGeom prst="roundRect">
          <a:avLst>
            <a:gd name="adj" fmla="val 5031"/>
          </a:avLst>
        </a:prstGeom>
        <a:solidFill>
          <a:schemeClr val="bg1"/>
        </a:solidFill>
        <a:ln w="28575">
          <a:solidFill>
            <a:srgbClr val="C7CBD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12</xdr:col>
      <xdr:colOff>735821</xdr:colOff>
      <xdr:row>6</xdr:row>
      <xdr:rowOff>0</xdr:rowOff>
    </xdr:from>
    <xdr:to>
      <xdr:col>17</xdr:col>
      <xdr:colOff>0</xdr:colOff>
      <xdr:row>11</xdr:row>
      <xdr:rowOff>43062</xdr:rowOff>
    </xdr:to>
    <xdr:grpSp>
      <xdr:nvGrpSpPr>
        <xdr:cNvPr id="69" name="Agrupar 68">
          <a:extLst>
            <a:ext uri="{FF2B5EF4-FFF2-40B4-BE49-F238E27FC236}">
              <a16:creationId xmlns:a16="http://schemas.microsoft.com/office/drawing/2014/main" id="{1DB7D96B-6A89-4668-B669-691348CAB1E4}"/>
            </a:ext>
          </a:extLst>
        </xdr:cNvPr>
        <xdr:cNvGrpSpPr/>
      </xdr:nvGrpSpPr>
      <xdr:grpSpPr>
        <a:xfrm>
          <a:off x="13921142" y="1224643"/>
          <a:ext cx="3509608" cy="1063598"/>
          <a:chOff x="8031286" y="1291509"/>
          <a:chExt cx="2332420" cy="1105757"/>
        </a:xfrm>
      </xdr:grpSpPr>
      <xdr:sp macro="" textlink="Calculos!D6">
        <xdr:nvSpPr>
          <xdr:cNvPr id="70" name="Retângulo: Cantos Arredondados 69">
            <a:extLst>
              <a:ext uri="{FF2B5EF4-FFF2-40B4-BE49-F238E27FC236}">
                <a16:creationId xmlns:a16="http://schemas.microsoft.com/office/drawing/2014/main" id="{598ADD9A-71DB-9107-7528-0893E4F96F8B}"/>
              </a:ext>
            </a:extLst>
          </xdr:cNvPr>
          <xdr:cNvSpPr/>
        </xdr:nvSpPr>
        <xdr:spPr>
          <a:xfrm>
            <a:off x="8031286" y="1291509"/>
            <a:ext cx="2332420" cy="1105757"/>
          </a:xfrm>
          <a:prstGeom prst="roundRect">
            <a:avLst>
              <a:gd name="adj" fmla="val 4634"/>
            </a:avLst>
          </a:prstGeom>
          <a:solidFill>
            <a:srgbClr val="5A33FF"/>
          </a:solidFill>
          <a:effectLst>
            <a:outerShdw blurRad="50800" dist="38100" dir="2700000" algn="tl" rotWithShape="0">
              <a:prstClr val="black">
                <a:alpha val="40000"/>
              </a:prstClr>
            </a:outerShdw>
            <a:softEdge rad="0"/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marL="0" indent="0" algn="ctr"/>
            <a:fld id="{C107E7F3-652D-478A-8960-888C3BE4B7DA}" type="TxLink">
              <a:rPr lang="en-US" sz="4800" b="0" i="0" u="none" strike="noStrike">
                <a:solidFill>
                  <a:schemeClr val="bg1"/>
                </a:solidFill>
                <a:effectLst/>
                <a:latin typeface="Aptos Narrow"/>
                <a:ea typeface="+mn-ea"/>
                <a:cs typeface="+mn-cs"/>
              </a:rPr>
              <a:pPr marL="0" indent="0" algn="ctr"/>
              <a:t>12</a:t>
            </a:fld>
            <a:endParaRPr lang="en-US" sz="4800" b="0" i="0" u="none" strike="noStrike">
              <a:solidFill>
                <a:schemeClr val="bg1"/>
              </a:solidFill>
              <a:effectLst/>
              <a:latin typeface="Aptos Narrow"/>
              <a:ea typeface="+mn-ea"/>
              <a:cs typeface="+mn-cs"/>
            </a:endParaRPr>
          </a:p>
        </xdr:txBody>
      </xdr:sp>
      <xdr:sp macro="" textlink="">
        <xdr:nvSpPr>
          <xdr:cNvPr id="71" name="CaixaDeTexto 70">
            <a:extLst>
              <a:ext uri="{FF2B5EF4-FFF2-40B4-BE49-F238E27FC236}">
                <a16:creationId xmlns:a16="http://schemas.microsoft.com/office/drawing/2014/main" id="{7B395350-3F8B-BEDE-8B40-5CDC1DFED88F}"/>
              </a:ext>
            </a:extLst>
          </xdr:cNvPr>
          <xdr:cNvSpPr txBox="1"/>
        </xdr:nvSpPr>
        <xdr:spPr>
          <a:xfrm>
            <a:off x="8563485" y="1291509"/>
            <a:ext cx="1268021" cy="36785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pt-BR" sz="2200" b="1">
                <a:solidFill>
                  <a:schemeClr val="bg1"/>
                </a:solidFill>
                <a:latin typeface="Segoe UI Light" panose="020B0502040204020203" pitchFamily="34" charset="0"/>
                <a:cs typeface="Segoe UI Light" panose="020B0502040204020203" pitchFamily="34" charset="0"/>
              </a:rPr>
              <a:t>Clientes</a:t>
            </a:r>
            <a:r>
              <a:rPr lang="pt-BR" sz="2200" b="1" baseline="0">
                <a:solidFill>
                  <a:schemeClr val="bg1"/>
                </a:solidFill>
                <a:latin typeface="Segoe UI Light" panose="020B0502040204020203" pitchFamily="34" charset="0"/>
                <a:cs typeface="Segoe UI Light" panose="020B0502040204020203" pitchFamily="34" charset="0"/>
              </a:rPr>
              <a:t> Ativos</a:t>
            </a:r>
          </a:p>
        </xdr:txBody>
      </xdr:sp>
    </xdr:grpSp>
    <xdr:clientData/>
  </xdr:twoCellAnchor>
  <xdr:twoCellAnchor editAs="absolute">
    <xdr:from>
      <xdr:col>9</xdr:col>
      <xdr:colOff>316739</xdr:colOff>
      <xdr:row>12</xdr:row>
      <xdr:rowOff>123550</xdr:rowOff>
    </xdr:from>
    <xdr:to>
      <xdr:col>12</xdr:col>
      <xdr:colOff>823688</xdr:colOff>
      <xdr:row>26</xdr:row>
      <xdr:rowOff>137</xdr:rowOff>
    </xdr:to>
    <xdr:grpSp>
      <xdr:nvGrpSpPr>
        <xdr:cNvPr id="75" name="Agrupar 74">
          <a:extLst>
            <a:ext uri="{FF2B5EF4-FFF2-40B4-BE49-F238E27FC236}">
              <a16:creationId xmlns:a16="http://schemas.microsoft.com/office/drawing/2014/main" id="{FC539F71-7B19-17A8-5FD0-7A4A6DD549A5}"/>
            </a:ext>
          </a:extLst>
        </xdr:cNvPr>
        <xdr:cNvGrpSpPr/>
      </xdr:nvGrpSpPr>
      <xdr:grpSpPr>
        <a:xfrm>
          <a:off x="10426846" y="2572836"/>
          <a:ext cx="3582163" cy="2734087"/>
          <a:chOff x="10426846" y="2572836"/>
          <a:chExt cx="3582163" cy="2734087"/>
        </a:xfrm>
      </xdr:grpSpPr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D575C413-440D-4F6C-9FE6-EA4FF46A5A7E}"/>
              </a:ext>
            </a:extLst>
          </xdr:cNvPr>
          <xdr:cNvGrpSpPr/>
        </xdr:nvGrpSpPr>
        <xdr:grpSpPr>
          <a:xfrm>
            <a:off x="10426846" y="2572836"/>
            <a:ext cx="3582163" cy="2734087"/>
            <a:chOff x="2715939" y="3209598"/>
            <a:chExt cx="3308068" cy="3254508"/>
          </a:xfrm>
        </xdr:grpSpPr>
        <xdr:sp macro="" textlink="">
          <xdr:nvSpPr>
            <xdr:cNvPr id="20" name="Retângulo: Cantos Arredondados 19">
              <a:extLst>
                <a:ext uri="{FF2B5EF4-FFF2-40B4-BE49-F238E27FC236}">
                  <a16:creationId xmlns:a16="http://schemas.microsoft.com/office/drawing/2014/main" id="{AE6B6A56-1BA5-A1F7-AF28-16314515632E}"/>
                </a:ext>
              </a:extLst>
            </xdr:cNvPr>
            <xdr:cNvSpPr/>
          </xdr:nvSpPr>
          <xdr:spPr>
            <a:xfrm>
              <a:off x="2715939" y="3209598"/>
              <a:ext cx="3308068" cy="3254508"/>
            </a:xfrm>
            <a:prstGeom prst="roundRect">
              <a:avLst>
                <a:gd name="adj" fmla="val 5031"/>
              </a:avLst>
            </a:prstGeom>
            <a:solidFill>
              <a:schemeClr val="bg1"/>
            </a:solidFill>
            <a:ln w="28575">
              <a:solidFill>
                <a:srgbClr val="C7CBD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</xdr:grpSp>
      <xdr:graphicFrame macro="">
        <xdr:nvGraphicFramePr>
          <xdr:cNvPr id="72" name="Gráfico 71">
            <a:extLst>
              <a:ext uri="{FF2B5EF4-FFF2-40B4-BE49-F238E27FC236}">
                <a16:creationId xmlns:a16="http://schemas.microsoft.com/office/drawing/2014/main" id="{A9B51880-70EA-4608-BA13-CAFB1FC4E9B5}"/>
              </a:ext>
            </a:extLst>
          </xdr:cNvPr>
          <xdr:cNvGraphicFramePr>
            <a:graphicFrameLocks/>
          </xdr:cNvGraphicFramePr>
        </xdr:nvGraphicFramePr>
        <xdr:xfrm>
          <a:off x="10471927" y="2607879"/>
          <a:ext cx="3492000" cy="2664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 editAs="absolute">
    <xdr:from>
      <xdr:col>12</xdr:col>
      <xdr:colOff>1011782</xdr:colOff>
      <xdr:row>12</xdr:row>
      <xdr:rowOff>116734</xdr:rowOff>
    </xdr:from>
    <xdr:to>
      <xdr:col>17</xdr:col>
      <xdr:colOff>368827</xdr:colOff>
      <xdr:row>25</xdr:row>
      <xdr:rowOff>186491</xdr:rowOff>
    </xdr:to>
    <xdr:grpSp>
      <xdr:nvGrpSpPr>
        <xdr:cNvPr id="77" name="Agrupar 76">
          <a:extLst>
            <a:ext uri="{FF2B5EF4-FFF2-40B4-BE49-F238E27FC236}">
              <a16:creationId xmlns:a16="http://schemas.microsoft.com/office/drawing/2014/main" id="{E437BF5F-2207-FB4F-5338-01391B3D3F3F}"/>
            </a:ext>
          </a:extLst>
        </xdr:cNvPr>
        <xdr:cNvGrpSpPr/>
      </xdr:nvGrpSpPr>
      <xdr:grpSpPr>
        <a:xfrm>
          <a:off x="14197103" y="2566020"/>
          <a:ext cx="3602474" cy="2723150"/>
          <a:chOff x="14156282" y="2610552"/>
          <a:chExt cx="3600000" cy="2771394"/>
        </a:xfrm>
      </xdr:grpSpPr>
      <xdr:sp macro="" textlink="">
        <xdr:nvSpPr>
          <xdr:cNvPr id="26" name="Retângulo: Cantos Arredondados 25">
            <a:extLst>
              <a:ext uri="{FF2B5EF4-FFF2-40B4-BE49-F238E27FC236}">
                <a16:creationId xmlns:a16="http://schemas.microsoft.com/office/drawing/2014/main" id="{AB66A9C0-F3D6-A2E6-F66C-1D4CCEFA455F}"/>
              </a:ext>
            </a:extLst>
          </xdr:cNvPr>
          <xdr:cNvSpPr/>
        </xdr:nvSpPr>
        <xdr:spPr>
          <a:xfrm>
            <a:off x="14156282" y="2610552"/>
            <a:ext cx="3600000" cy="2771394"/>
          </a:xfrm>
          <a:prstGeom prst="roundRect">
            <a:avLst>
              <a:gd name="adj" fmla="val 5031"/>
            </a:avLst>
          </a:prstGeom>
          <a:solidFill>
            <a:schemeClr val="bg1"/>
          </a:solidFill>
          <a:ln w="28575">
            <a:solidFill>
              <a:srgbClr val="C7CBD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76" name="Gráfico 75">
            <a:extLst>
              <a:ext uri="{FF2B5EF4-FFF2-40B4-BE49-F238E27FC236}">
                <a16:creationId xmlns:a16="http://schemas.microsoft.com/office/drawing/2014/main" id="{FD8F1911-8D79-4928-AC95-F12A6FDD2E12}"/>
              </a:ext>
            </a:extLst>
          </xdr:cNvPr>
          <xdr:cNvGraphicFramePr>
            <a:graphicFrameLocks/>
          </xdr:cNvGraphicFramePr>
        </xdr:nvGraphicFramePr>
        <xdr:xfrm>
          <a:off x="14210282" y="2664249"/>
          <a:ext cx="3492000" cy="2664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 editAs="absolute">
    <xdr:from>
      <xdr:col>1</xdr:col>
      <xdr:colOff>721984</xdr:colOff>
      <xdr:row>26</xdr:row>
      <xdr:rowOff>198386</xdr:rowOff>
    </xdr:from>
    <xdr:to>
      <xdr:col>5</xdr:col>
      <xdr:colOff>594484</xdr:colOff>
      <xdr:row>39</xdr:row>
      <xdr:rowOff>160750</xdr:rowOff>
    </xdr:to>
    <xdr:graphicFrame macro="">
      <xdr:nvGraphicFramePr>
        <xdr:cNvPr id="79" name="Gráfico 78">
          <a:extLst>
            <a:ext uri="{FF2B5EF4-FFF2-40B4-BE49-F238E27FC236}">
              <a16:creationId xmlns:a16="http://schemas.microsoft.com/office/drawing/2014/main" id="{E123D518-0A58-43E1-B38E-75A00012B2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6</xdr:col>
      <xdr:colOff>219401</xdr:colOff>
      <xdr:row>27</xdr:row>
      <xdr:rowOff>21130</xdr:rowOff>
    </xdr:from>
    <xdr:to>
      <xdr:col>9</xdr:col>
      <xdr:colOff>72194</xdr:colOff>
      <xdr:row>39</xdr:row>
      <xdr:rowOff>162647</xdr:rowOff>
    </xdr:to>
    <xdr:graphicFrame macro="">
      <xdr:nvGraphicFramePr>
        <xdr:cNvPr id="80" name="Gráfico 79">
          <a:extLst>
            <a:ext uri="{FF2B5EF4-FFF2-40B4-BE49-F238E27FC236}">
              <a16:creationId xmlns:a16="http://schemas.microsoft.com/office/drawing/2014/main" id="{3ED23069-B5AB-48A2-902E-C4F09474F6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355045</xdr:colOff>
      <xdr:row>27</xdr:row>
      <xdr:rowOff>21130</xdr:rowOff>
    </xdr:from>
    <xdr:to>
      <xdr:col>12</xdr:col>
      <xdr:colOff>776633</xdr:colOff>
      <xdr:row>39</xdr:row>
      <xdr:rowOff>130189</xdr:rowOff>
    </xdr:to>
    <xdr:graphicFrame macro="">
      <xdr:nvGraphicFramePr>
        <xdr:cNvPr id="82" name="Gráfico 81">
          <a:extLst>
            <a:ext uri="{FF2B5EF4-FFF2-40B4-BE49-F238E27FC236}">
              <a16:creationId xmlns:a16="http://schemas.microsoft.com/office/drawing/2014/main" id="{DB29BB68-5B12-4E72-8E22-E6D8074A5B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1006484</xdr:colOff>
      <xdr:row>26</xdr:row>
      <xdr:rowOff>145057</xdr:rowOff>
    </xdr:from>
    <xdr:to>
      <xdr:col>17</xdr:col>
      <xdr:colOff>361844</xdr:colOff>
      <xdr:row>40</xdr:row>
      <xdr:rowOff>6262</xdr:rowOff>
    </xdr:to>
    <xdr:grpSp>
      <xdr:nvGrpSpPr>
        <xdr:cNvPr id="85" name="Agrupar 84">
          <a:extLst>
            <a:ext uri="{FF2B5EF4-FFF2-40B4-BE49-F238E27FC236}">
              <a16:creationId xmlns:a16="http://schemas.microsoft.com/office/drawing/2014/main" id="{7DB4BCFA-EBE7-81CA-6AE6-61AE3217CAD2}"/>
            </a:ext>
          </a:extLst>
        </xdr:cNvPr>
        <xdr:cNvGrpSpPr/>
      </xdr:nvGrpSpPr>
      <xdr:grpSpPr>
        <a:xfrm>
          <a:off x="14191805" y="5451843"/>
          <a:ext cx="3600789" cy="2718705"/>
          <a:chOff x="14191805" y="5451843"/>
          <a:chExt cx="3600789" cy="2718705"/>
        </a:xfrm>
      </xdr:grpSpPr>
      <xdr:sp macro="" textlink="">
        <xdr:nvSpPr>
          <xdr:cNvPr id="53" name="Retângulo: Cantos Arredondados 52">
            <a:extLst>
              <a:ext uri="{FF2B5EF4-FFF2-40B4-BE49-F238E27FC236}">
                <a16:creationId xmlns:a16="http://schemas.microsoft.com/office/drawing/2014/main" id="{717736C5-D598-9EDE-5B23-48C0F5C6FA9F}"/>
              </a:ext>
            </a:extLst>
          </xdr:cNvPr>
          <xdr:cNvSpPr/>
        </xdr:nvSpPr>
        <xdr:spPr>
          <a:xfrm>
            <a:off x="14191805" y="5451843"/>
            <a:ext cx="3600789" cy="2718705"/>
          </a:xfrm>
          <a:prstGeom prst="roundRect">
            <a:avLst>
              <a:gd name="adj" fmla="val 5031"/>
            </a:avLst>
          </a:prstGeom>
          <a:solidFill>
            <a:schemeClr val="bg1"/>
          </a:solidFill>
          <a:ln w="28575">
            <a:solidFill>
              <a:srgbClr val="C7CBD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84" name="Gráfico 83">
            <a:extLst>
              <a:ext uri="{FF2B5EF4-FFF2-40B4-BE49-F238E27FC236}">
                <a16:creationId xmlns:a16="http://schemas.microsoft.com/office/drawing/2014/main" id="{E6CA43FE-2142-4425-A8F1-0A9392138A38}"/>
              </a:ext>
            </a:extLst>
          </xdr:cNvPr>
          <xdr:cNvGraphicFramePr>
            <a:graphicFrameLocks/>
          </xdr:cNvGraphicFramePr>
        </xdr:nvGraphicFramePr>
        <xdr:xfrm>
          <a:off x="14246199" y="5479195"/>
          <a:ext cx="3492000" cy="2664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</xdr:grp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ri" refreshedDate="45984.826136689815" backgroundQuery="1" createdVersion="8" refreshedVersion="8" minRefreshableVersion="3" recordCount="0" supportSubquery="1" supportAdvancedDrill="1" xr:uid="{100D8C2C-838B-4B77-ADF1-578F6903B91E}">
  <cacheSource type="external" connectionId="1"/>
  <cacheFields count="6">
    <cacheField name="[Base_Vendas].[forma_pagamento].[forma_pagamento]" caption="forma_pagamento" numFmtId="0" hierarchy="17" level="1">
      <sharedItems count="5">
        <s v=" Boleto"/>
        <s v=" Cartão de Crédito"/>
        <s v=" Cartão de Débito"/>
        <s v=" Pix"/>
        <s v=" Transferência"/>
      </sharedItems>
    </cacheField>
    <cacheField name="[Measures].[Faturamento_Total]" caption="Faturamento_Total" numFmtId="0" hierarchy="26" level="32767"/>
    <cacheField name="[Base_Vendas].[ano_pedido].[ano_pedido]" caption="ano_pedido" numFmtId="0" hierarchy="2" level="1">
      <sharedItems containsSemiMixedTypes="0" containsNonDate="0" containsString="0"/>
    </cacheField>
    <cacheField name="[Base_Vendas].[mes_pedido].[mes_pedido]" caption="mes_pedido" numFmtId="0" hierarchy="3" level="1">
      <sharedItems containsSemiMixedTypes="0" containsNonDate="0" containsString="0"/>
    </cacheField>
    <cacheField name="[Base_Vendas].[status_pedido].[status_pedido]" caption="status_pedido" numFmtId="0" hierarchy="16" level="1">
      <sharedItems containsSemiMixedTypes="0" containsNonDate="0" containsString="0"/>
    </cacheField>
    <cacheField name="[Base_Vendas].[categoria_produto].[categoria_produto]" caption="categoria_produto" numFmtId="0" hierarchy="11" level="1">
      <sharedItems containsSemiMixedTypes="0" containsNonDate="0" containsString="0"/>
    </cacheField>
  </cacheFields>
  <cacheHierarchies count="33">
    <cacheHierarchy uniqueName="[Base_Vendas].[id_pedido]" caption="id_pedido" attribute="1" defaultMemberUniqueName="[Base_Vendas].[id_pedido].[All]" allUniqueName="[Base_Vendas].[id_pedido].[All]" dimensionUniqueName="[Base_Vendas]" displayFolder="" count="0" memberValueDatatype="130" unbalanced="0"/>
    <cacheHierarchy uniqueName="[Base_Vendas].[data_pedido]" caption="data_pedido" attribute="1" defaultMemberUniqueName="[Base_Vendas].[data_pedido].[All]" allUniqueName="[Base_Vendas].[data_pedido].[All]" dimensionUniqueName="[Base_Vendas]" displayFolder="" count="0" memberValueDatatype="130" unbalanced="0"/>
    <cacheHierarchy uniqueName="[Base_Vendas].[ano_pedido]" caption="ano_pedido" attribute="1" defaultMemberUniqueName="[Base_Vendas].[ano_pedido].[All]" allUniqueName="[Base_Vendas].[ano_pedido].[All]" dimensionUniqueName="[Base_Vendas]" displayFolder="" count="2" memberValueDatatype="20" unbalanced="0">
      <fieldsUsage count="2">
        <fieldUsage x="-1"/>
        <fieldUsage x="2"/>
      </fieldsUsage>
    </cacheHierarchy>
    <cacheHierarchy uniqueName="[Base_Vendas].[mes_pedido]" caption="mes_pedido" attribute="1" defaultMemberUniqueName="[Base_Vendas].[mes_pedido].[All]" allUniqueName="[Base_Vendas].[mes_pedido].[All]" dimensionUniqueName="[Base_Vendas]" displayFolder="" count="2" memberValueDatatype="20" unbalanced="0">
      <fieldsUsage count="2">
        <fieldUsage x="-1"/>
        <fieldUsage x="3"/>
      </fieldsUsage>
    </cacheHierarchy>
    <cacheHierarchy uniqueName="[Base_Vendas].[id_cliente]" caption="id_cliente" attribute="1" defaultMemberUniqueName="[Base_Vendas].[id_cliente].[All]" allUniqueName="[Base_Vendas].[id_cliente].[All]" dimensionUniqueName="[Base_Vendas]" displayFolder="" count="0" memberValueDatatype="20" unbalanced="0"/>
    <cacheHierarchy uniqueName="[Base_Vendas].[nome_cliente]" caption="nome_cliente" attribute="1" defaultMemberUniqueName="[Base_Vendas].[nome_cliente].[All]" allUniqueName="[Base_Vendas].[nome_cliente].[All]" dimensionUniqueName="[Base_Vendas]" displayFolder="" count="0" memberValueDatatype="130" unbalanced="0"/>
    <cacheHierarchy uniqueName="[Base_Vendas].[tipo_cliente]" caption="tipo_cliente" attribute="1" defaultMemberUniqueName="[Base_Vendas].[tipo_cliente].[All]" allUniqueName="[Base_Vendas].[tipo_cliente].[All]" dimensionUniqueName="[Base_Vendas]" displayFolder="" count="0" memberValueDatatype="130" unbalanced="0"/>
    <cacheHierarchy uniqueName="[Base_Vendas].[cidade]" caption="cidade" attribute="1" defaultMemberUniqueName="[Base_Vendas].[cidade].[All]" allUniqueName="[Base_Vendas].[cidade].[All]" dimensionUniqueName="[Base_Vendas]" displayFolder="" count="0" memberValueDatatype="130" unbalanced="0"/>
    <cacheHierarchy uniqueName="[Base_Vendas].[estado]" caption="estado" attribute="1" defaultMemberUniqueName="[Base_Vendas].[estado].[All]" allUniqueName="[Base_Vendas].[estado].[All]" dimensionUniqueName="[Base_Vendas]" displayFolder="" count="0" memberValueDatatype="130" unbalanced="0"/>
    <cacheHierarchy uniqueName="[Base_Vendas].[id_produto]" caption="id_produto" attribute="1" defaultMemberUniqueName="[Base_Vendas].[id_produto].[All]" allUniqueName="[Base_Vendas].[id_produto].[All]" dimensionUniqueName="[Base_Vendas]" displayFolder="" count="0" memberValueDatatype="20" unbalanced="0"/>
    <cacheHierarchy uniqueName="[Base_Vendas].[nome_produto]" caption="nome_produto" attribute="1" defaultMemberUniqueName="[Base_Vendas].[nome_produto].[All]" allUniqueName="[Base_Vendas].[nome_produto].[All]" dimensionUniqueName="[Base_Vendas]" displayFolder="" count="0" memberValueDatatype="130" unbalanced="0"/>
    <cacheHierarchy uniqueName="[Base_Vendas].[categoria_produto]" caption="categoria_produto" attribute="1" defaultMemberUniqueName="[Base_Vendas].[categoria_produto].[All]" allUniqueName="[Base_Vendas].[categoria_produto].[All]" dimensionUniqueName="[Base_Vendas]" displayFolder="" count="2" memberValueDatatype="130" unbalanced="0">
      <fieldsUsage count="2">
        <fieldUsage x="-1"/>
        <fieldUsage x="5"/>
      </fieldsUsage>
    </cacheHierarchy>
    <cacheHierarchy uniqueName="[Base_Vendas].[quantidade]" caption="quantidade" attribute="1" defaultMemberUniqueName="[Base_Vendas].[quantidade].[All]" allUniqueName="[Base_Vendas].[quantidade].[All]" dimensionUniqueName="[Base_Vendas]" displayFolder="" count="0" memberValueDatatype="20" unbalanced="0"/>
    <cacheHierarchy uniqueName="[Base_Vendas].[preco_unitario]" caption="preco_unitario" attribute="1" defaultMemberUniqueName="[Base_Vendas].[preco_unitario].[All]" allUniqueName="[Base_Vendas].[preco_unitario].[All]" dimensionUniqueName="[Base_Vendas]" displayFolder="" count="0" memberValueDatatype="20" unbalanced="0"/>
    <cacheHierarchy uniqueName="[Base_Vendas].[valor_item]" caption="valor_item" attribute="1" defaultMemberUniqueName="[Base_Vendas].[valor_item].[All]" allUniqueName="[Base_Vendas].[valor_item].[All]" dimensionUniqueName="[Base_Vendas]" displayFolder="" count="0" memberValueDatatype="20" unbalanced="0"/>
    <cacheHierarchy uniqueName="[Base_Vendas].[valor_frete]" caption="valor_frete" attribute="1" defaultMemberUniqueName="[Base_Vendas].[valor_frete].[All]" allUniqueName="[Base_Vendas].[valor_frete].[All]" dimensionUniqueName="[Base_Vendas]" displayFolder="" count="0" memberValueDatatype="20" unbalanced="0"/>
    <cacheHierarchy uniqueName="[Base_Vendas].[status_pedido]" caption="status_pedido" attribute="1" defaultMemberUniqueName="[Base_Vendas].[status_pedido].[All]" allUniqueName="[Base_Vendas].[status_pedido].[All]" dimensionUniqueName="[Base_Vendas]" displayFolder="" count="2" memberValueDatatype="130" unbalanced="0">
      <fieldsUsage count="2">
        <fieldUsage x="-1"/>
        <fieldUsage x="4"/>
      </fieldsUsage>
    </cacheHierarchy>
    <cacheHierarchy uniqueName="[Base_Vendas].[forma_pagamento]" caption="forma_pagamento" attribute="1" defaultMemberUniqueName="[Base_Vendas].[forma_pagamento].[All]" allUniqueName="[Base_Vendas].[forma_pagamento].[All]" dimensionUniqueName="[Base_Vendas]" displayFolder="" count="2" memberValueDatatype="130" unbalanced="0">
      <fieldsUsage count="2">
        <fieldUsage x="-1"/>
        <fieldUsage x="0"/>
      </fieldsUsage>
    </cacheHierarchy>
    <cacheHierarchy uniqueName="[Base_Vendas].[status_entrega]" caption="status_entrega" attribute="1" defaultMemberUniqueName="[Base_Vendas].[status_entrega].[All]" allUniqueName="[Base_Vendas].[status_entrega].[All]" dimensionUniqueName="[Base_Vendas]" displayFolder="" count="0" memberValueDatatype="130" unbalanced="0"/>
    <cacheHierarchy uniqueName="[Base_Vendas].[data_envio]" caption="data_envio" attribute="1" defaultMemberUniqueName="[Base_Vendas].[data_envio].[All]" allUniqueName="[Base_Vendas].[data_envio].[All]" dimensionUniqueName="[Base_Vendas]" displayFolder="" count="0" memberValueDatatype="130" unbalanced="0"/>
    <cacheHierarchy uniqueName="[Base_Vendas].[data_entrega]" caption="data_entrega" attribute="1" defaultMemberUniqueName="[Base_Vendas].[data_entrega].[All]" allUniqueName="[Base_Vendas].[data_entrega].[All]" dimensionUniqueName="[Base_Vendas]" displayFolder="" count="0" memberValueDatatype="130" unbalanced="0"/>
    <cacheHierarchy uniqueName="[Base_Vendas].[codigo_rastreio]" caption="codigo_rastreio" attribute="1" defaultMemberUniqueName="[Base_Vendas].[codigo_rastreio].[All]" allUniqueName="[Base_Vendas].[codigo_rastreio].[All]" dimensionUniqueName="[Base_Vendas]" displayFolder="" count="0" memberValueDatatype="130" unbalanced="0"/>
    <cacheHierarchy uniqueName="[Measures].[Contagem de id_pedido]" caption="Contagem de id_pedido" measure="1" displayFolder="" measureGroup="Base_Venda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istinta de id_pedido]" caption="Contagem Distinta de id_pedido" measure="1" displayFolder="" measureGroup="Base_Venda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oma de valor_item]" caption="Soma de valor_item" measure="1" displayFolder="" measureGroup="Base_Venda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mes_pedido]" caption="Soma de mes_pedido" measure="1" displayFolder="" measureGroup="Base_Venda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Faturamento_Total]" caption="Faturamento_Total" measure="1" displayFolder="" measureGroup="Base_Vendas" count="0" oneField="1">
      <fieldsUsage count="1">
        <fieldUsage x="1"/>
      </fieldsUsage>
    </cacheHierarchy>
    <cacheHierarchy uniqueName="[Measures].[Qnt_Pedidos]" caption="Qnt_Pedidos" measure="1" displayFolder="" measureGroup="Base_Vendas" count="0"/>
    <cacheHierarchy uniqueName="[Measures].[Ticket_Medio]" caption="Ticket_Medio" measure="1" displayFolder="" measureGroup="Base_Vendas" count="0"/>
    <cacheHierarchy uniqueName="[Measures].[Qnt_Itens]" caption="Qnt_Itens" measure="1" displayFolder="" measureGroup="Base_Vendas" count="0"/>
    <cacheHierarchy uniqueName="[Measures].[Clientes_Ativos]" caption="Clientes_Ativos" measure="1" displayFolder="" measureGroup="Base_Vendas" count="0"/>
    <cacheHierarchy uniqueName="[Measures].[__XL_Count Base_Vendas]" caption="__XL_Count Base_Vendas" measure="1" displayFolder="" measureGroup="Base_Vendas" count="0" hidden="1"/>
    <cacheHierarchy uniqueName="[Measures].[__No measures defined]" caption="__No measures defined" measure="1" displayFolder="" count="0" hidden="1"/>
  </cacheHierarchies>
  <kpis count="0"/>
  <dimensions count="2">
    <dimension name="Base_Vendas" uniqueName="[Base_Vendas]" caption="Base_Vendas"/>
    <dimension measure="1" name="Measures" uniqueName="[Measures]" caption="Measures"/>
  </dimensions>
  <measureGroups count="1">
    <measureGroup name="Base_Vendas" caption="Base_Venda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ri" refreshedDate="45984.8261369213" backgroundQuery="1" createdVersion="8" refreshedVersion="8" minRefreshableVersion="3" recordCount="0" supportSubquery="1" supportAdvancedDrill="1" xr:uid="{6ED81E82-A1FF-4031-8D97-34F3A1C7D790}">
  <cacheSource type="external" connectionId="1"/>
  <cacheFields count="5">
    <cacheField name="[Base_Vendas].[ano_pedido].[ano_pedido]" caption="ano_pedido" numFmtId="0" hierarchy="2" level="1">
      <sharedItems containsSemiMixedTypes="0" containsNonDate="0" containsString="0"/>
    </cacheField>
    <cacheField name="[Base_Vendas].[mes_pedido].[mes_pedido]" caption="mes_pedido" numFmtId="0" hierarchy="3" level="1">
      <sharedItems containsSemiMixedTypes="0" containsNonDate="0" containsString="0"/>
    </cacheField>
    <cacheField name="[Base_Vendas].[status_pedido].[status_pedido]" caption="status_pedido" numFmtId="0" hierarchy="16" level="1">
      <sharedItems containsSemiMixedTypes="0" containsNonDate="0" containsString="0"/>
    </cacheField>
    <cacheField name="[Measures].[Contagem Distinta de id_pedido]" caption="Contagem Distinta de id_pedido" numFmtId="0" hierarchy="23" level="32767"/>
    <cacheField name="[Base_Vendas].[categoria_produto].[categoria_produto]" caption="categoria_produto" numFmtId="0" hierarchy="11" level="1">
      <sharedItems containsSemiMixedTypes="0" containsNonDate="0" containsString="0"/>
    </cacheField>
  </cacheFields>
  <cacheHierarchies count="33">
    <cacheHierarchy uniqueName="[Base_Vendas].[id_pedido]" caption="id_pedido" attribute="1" defaultMemberUniqueName="[Base_Vendas].[id_pedido].[All]" allUniqueName="[Base_Vendas].[id_pedido].[All]" dimensionUniqueName="[Base_Vendas]" displayFolder="" count="0" memberValueDatatype="130" unbalanced="0"/>
    <cacheHierarchy uniqueName="[Base_Vendas].[data_pedido]" caption="data_pedido" attribute="1" defaultMemberUniqueName="[Base_Vendas].[data_pedido].[All]" allUniqueName="[Base_Vendas].[data_pedido].[All]" dimensionUniqueName="[Base_Vendas]" displayFolder="" count="0" memberValueDatatype="130" unbalanced="0"/>
    <cacheHierarchy uniqueName="[Base_Vendas].[ano_pedido]" caption="ano_pedido" attribute="1" defaultMemberUniqueName="[Base_Vendas].[ano_pedido].[All]" allUniqueName="[Base_Vendas].[ano_pedido].[All]" dimensionUniqueName="[Base_Vendas]" displayFolder="" count="2" memberValueDatatype="20" unbalanced="0">
      <fieldsUsage count="2">
        <fieldUsage x="-1"/>
        <fieldUsage x="0"/>
      </fieldsUsage>
    </cacheHierarchy>
    <cacheHierarchy uniqueName="[Base_Vendas].[mes_pedido]" caption="mes_pedido" attribute="1" defaultMemberUniqueName="[Base_Vendas].[mes_pedido].[All]" allUniqueName="[Base_Vendas].[mes_pedido].[All]" dimensionUniqueName="[Base_Vendas]" displayFolder="" count="2" memberValueDatatype="20" unbalanced="0">
      <fieldsUsage count="2">
        <fieldUsage x="-1"/>
        <fieldUsage x="1"/>
      </fieldsUsage>
    </cacheHierarchy>
    <cacheHierarchy uniqueName="[Base_Vendas].[id_cliente]" caption="id_cliente" attribute="1" defaultMemberUniqueName="[Base_Vendas].[id_cliente].[All]" allUniqueName="[Base_Vendas].[id_cliente].[All]" dimensionUniqueName="[Base_Vendas]" displayFolder="" count="0" memberValueDatatype="20" unbalanced="0"/>
    <cacheHierarchy uniqueName="[Base_Vendas].[nome_cliente]" caption="nome_cliente" attribute="1" defaultMemberUniqueName="[Base_Vendas].[nome_cliente].[All]" allUniqueName="[Base_Vendas].[nome_cliente].[All]" dimensionUniqueName="[Base_Vendas]" displayFolder="" count="0" memberValueDatatype="130" unbalanced="0"/>
    <cacheHierarchy uniqueName="[Base_Vendas].[tipo_cliente]" caption="tipo_cliente" attribute="1" defaultMemberUniqueName="[Base_Vendas].[tipo_cliente].[All]" allUniqueName="[Base_Vendas].[tipo_cliente].[All]" dimensionUniqueName="[Base_Vendas]" displayFolder="" count="0" memberValueDatatype="130" unbalanced="0"/>
    <cacheHierarchy uniqueName="[Base_Vendas].[cidade]" caption="cidade" attribute="1" defaultMemberUniqueName="[Base_Vendas].[cidade].[All]" allUniqueName="[Base_Vendas].[cidade].[All]" dimensionUniqueName="[Base_Vendas]" displayFolder="" count="0" memberValueDatatype="130" unbalanced="0"/>
    <cacheHierarchy uniqueName="[Base_Vendas].[estado]" caption="estado" attribute="1" defaultMemberUniqueName="[Base_Vendas].[estado].[All]" allUniqueName="[Base_Vendas].[estado].[All]" dimensionUniqueName="[Base_Vendas]" displayFolder="" count="0" memberValueDatatype="130" unbalanced="0"/>
    <cacheHierarchy uniqueName="[Base_Vendas].[id_produto]" caption="id_produto" attribute="1" defaultMemberUniqueName="[Base_Vendas].[id_produto].[All]" allUniqueName="[Base_Vendas].[id_produto].[All]" dimensionUniqueName="[Base_Vendas]" displayFolder="" count="0" memberValueDatatype="20" unbalanced="0"/>
    <cacheHierarchy uniqueName="[Base_Vendas].[nome_produto]" caption="nome_produto" attribute="1" defaultMemberUniqueName="[Base_Vendas].[nome_produto].[All]" allUniqueName="[Base_Vendas].[nome_produto].[All]" dimensionUniqueName="[Base_Vendas]" displayFolder="" count="0" memberValueDatatype="130" unbalanced="0"/>
    <cacheHierarchy uniqueName="[Base_Vendas].[categoria_produto]" caption="categoria_produto" attribute="1" defaultMemberUniqueName="[Base_Vendas].[categoria_produto].[All]" allUniqueName="[Base_Vendas].[categoria_produto].[All]" dimensionUniqueName="[Base_Vendas]" displayFolder="" count="2" memberValueDatatype="130" unbalanced="0">
      <fieldsUsage count="2">
        <fieldUsage x="-1"/>
        <fieldUsage x="4"/>
      </fieldsUsage>
    </cacheHierarchy>
    <cacheHierarchy uniqueName="[Base_Vendas].[quantidade]" caption="quantidade" attribute="1" defaultMemberUniqueName="[Base_Vendas].[quantidade].[All]" allUniqueName="[Base_Vendas].[quantidade].[All]" dimensionUniqueName="[Base_Vendas]" displayFolder="" count="0" memberValueDatatype="20" unbalanced="0"/>
    <cacheHierarchy uniqueName="[Base_Vendas].[preco_unitario]" caption="preco_unitario" attribute="1" defaultMemberUniqueName="[Base_Vendas].[preco_unitario].[All]" allUniqueName="[Base_Vendas].[preco_unitario].[All]" dimensionUniqueName="[Base_Vendas]" displayFolder="" count="0" memberValueDatatype="20" unbalanced="0"/>
    <cacheHierarchy uniqueName="[Base_Vendas].[valor_item]" caption="valor_item" attribute="1" defaultMemberUniqueName="[Base_Vendas].[valor_item].[All]" allUniqueName="[Base_Vendas].[valor_item].[All]" dimensionUniqueName="[Base_Vendas]" displayFolder="" count="0" memberValueDatatype="20" unbalanced="0"/>
    <cacheHierarchy uniqueName="[Base_Vendas].[valor_frete]" caption="valor_frete" attribute="1" defaultMemberUniqueName="[Base_Vendas].[valor_frete].[All]" allUniqueName="[Base_Vendas].[valor_frete].[All]" dimensionUniqueName="[Base_Vendas]" displayFolder="" count="0" memberValueDatatype="20" unbalanced="0"/>
    <cacheHierarchy uniqueName="[Base_Vendas].[status_pedido]" caption="status_pedido" attribute="1" defaultMemberUniqueName="[Base_Vendas].[status_pedido].[All]" allUniqueName="[Base_Vendas].[status_pedido].[All]" dimensionUniqueName="[Base_Vendas]" displayFolder="" count="2" memberValueDatatype="130" unbalanced="0">
      <fieldsUsage count="2">
        <fieldUsage x="-1"/>
        <fieldUsage x="2"/>
      </fieldsUsage>
    </cacheHierarchy>
    <cacheHierarchy uniqueName="[Base_Vendas].[forma_pagamento]" caption="forma_pagamento" attribute="1" defaultMemberUniqueName="[Base_Vendas].[forma_pagamento].[All]" allUniqueName="[Base_Vendas].[forma_pagamento].[All]" dimensionUniqueName="[Base_Vendas]" displayFolder="" count="2" memberValueDatatype="130" unbalanced="0"/>
    <cacheHierarchy uniqueName="[Base_Vendas].[status_entrega]" caption="status_entrega" attribute="1" defaultMemberUniqueName="[Base_Vendas].[status_entrega].[All]" allUniqueName="[Base_Vendas].[status_entrega].[All]" dimensionUniqueName="[Base_Vendas]" displayFolder="" count="0" memberValueDatatype="130" unbalanced="0"/>
    <cacheHierarchy uniqueName="[Base_Vendas].[data_envio]" caption="data_envio" attribute="1" defaultMemberUniqueName="[Base_Vendas].[data_envio].[All]" allUniqueName="[Base_Vendas].[data_envio].[All]" dimensionUniqueName="[Base_Vendas]" displayFolder="" count="0" memberValueDatatype="130" unbalanced="0"/>
    <cacheHierarchy uniqueName="[Base_Vendas].[data_entrega]" caption="data_entrega" attribute="1" defaultMemberUniqueName="[Base_Vendas].[data_entrega].[All]" allUniqueName="[Base_Vendas].[data_entrega].[All]" dimensionUniqueName="[Base_Vendas]" displayFolder="" count="0" memberValueDatatype="130" unbalanced="0"/>
    <cacheHierarchy uniqueName="[Base_Vendas].[codigo_rastreio]" caption="codigo_rastreio" attribute="1" defaultMemberUniqueName="[Base_Vendas].[codigo_rastreio].[All]" allUniqueName="[Base_Vendas].[codigo_rastreio].[All]" dimensionUniqueName="[Base_Vendas]" displayFolder="" count="0" memberValueDatatype="130" unbalanced="0"/>
    <cacheHierarchy uniqueName="[Measures].[Contagem de id_pedido]" caption="Contagem de id_pedido" measure="1" displayFolder="" measureGroup="Base_Venda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istinta de id_pedido]" caption="Contagem Distinta de id_pedido" measure="1" displayFolder="" measureGroup="Base_Vendas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oma de valor_item]" caption="Soma de valor_item" measure="1" displayFolder="" measureGroup="Base_Venda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mes_pedido]" caption="Soma de mes_pedido" measure="1" displayFolder="" measureGroup="Base_Venda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Faturamento_Total]" caption="Faturamento_Total" measure="1" displayFolder="" measureGroup="Base_Vendas" count="0"/>
    <cacheHierarchy uniqueName="[Measures].[Qnt_Pedidos]" caption="Qnt_Pedidos" measure="1" displayFolder="" measureGroup="Base_Vendas" count="0"/>
    <cacheHierarchy uniqueName="[Measures].[Ticket_Medio]" caption="Ticket_Medio" measure="1" displayFolder="" measureGroup="Base_Vendas" count="0"/>
    <cacheHierarchy uniqueName="[Measures].[Qnt_Itens]" caption="Qnt_Itens" measure="1" displayFolder="" measureGroup="Base_Vendas" count="0"/>
    <cacheHierarchy uniqueName="[Measures].[Clientes_Ativos]" caption="Clientes_Ativos" measure="1" displayFolder="" measureGroup="Base_Vendas" count="0"/>
    <cacheHierarchy uniqueName="[Measures].[__XL_Count Base_Vendas]" caption="__XL_Count Base_Vendas" measure="1" displayFolder="" measureGroup="Base_Vendas" count="0" hidden="1"/>
    <cacheHierarchy uniqueName="[Measures].[__No measures defined]" caption="__No measures defined" measure="1" displayFolder="" count="0" hidden="1"/>
  </cacheHierarchies>
  <kpis count="0"/>
  <dimensions count="2">
    <dimension name="Base_Vendas" uniqueName="[Base_Vendas]" caption="Base_Vendas"/>
    <dimension measure="1" name="Measures" uniqueName="[Measures]" caption="Measures"/>
  </dimensions>
  <measureGroups count="1">
    <measureGroup name="Base_Vendas" caption="Base_Venda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ri" refreshedDate="45984.8261375" backgroundQuery="1" createdVersion="8" refreshedVersion="8" minRefreshableVersion="3" recordCount="0" supportSubquery="1" supportAdvancedDrill="1" xr:uid="{248EC018-73EB-4665-9106-923F2D257AD1}">
  <cacheSource type="external" connectionId="1"/>
  <cacheFields count="6">
    <cacheField name="[Base_Vendas].[ano_pedido].[ano_pedido]" caption="ano_pedido" numFmtId="0" hierarchy="2" level="1">
      <sharedItems containsSemiMixedTypes="0" containsNonDate="0" containsString="0"/>
    </cacheField>
    <cacheField name="[Base_Vendas].[mes_pedido].[mes_pedido]" caption="mes_pedido" numFmtId="0" hierarchy="3" level="1">
      <sharedItems containsSemiMixedTypes="0" containsNonDate="0" containsString="0"/>
    </cacheField>
    <cacheField name="[Base_Vendas].[status_entrega].[status_entrega]" caption="status_entrega" numFmtId="0" hierarchy="18" level="1">
      <sharedItems containsSemiMixedTypes="0" containsNonDate="0" containsString="0"/>
    </cacheField>
    <cacheField name="[Base_Vendas].[status_pedido].[status_pedido]" caption="status_pedido" numFmtId="0" hierarchy="16" level="1">
      <sharedItems count="5">
        <s v=" Cancelado"/>
        <s v=" Em Processamento"/>
        <s v=" Entregue"/>
        <s v=" Enviado"/>
        <s v=" Pago"/>
      </sharedItems>
    </cacheField>
    <cacheField name="[Measures].[Soma de valor_item]" caption="Soma de valor_item" numFmtId="0" hierarchy="24" level="32767"/>
    <cacheField name="[Base_Vendas].[categoria_produto].[categoria_produto]" caption="categoria_produto" numFmtId="0" hierarchy="11" level="1">
      <sharedItems containsSemiMixedTypes="0" containsNonDate="0" containsString="0"/>
    </cacheField>
  </cacheFields>
  <cacheHierarchies count="33">
    <cacheHierarchy uniqueName="[Base_Vendas].[id_pedido]" caption="id_pedido" attribute="1" defaultMemberUniqueName="[Base_Vendas].[id_pedido].[All]" allUniqueName="[Base_Vendas].[id_pedido].[All]" dimensionUniqueName="[Base_Vendas]" displayFolder="" count="0" memberValueDatatype="130" unbalanced="0"/>
    <cacheHierarchy uniqueName="[Base_Vendas].[data_pedido]" caption="data_pedido" attribute="1" defaultMemberUniqueName="[Base_Vendas].[data_pedido].[All]" allUniqueName="[Base_Vendas].[data_pedido].[All]" dimensionUniqueName="[Base_Vendas]" displayFolder="" count="0" memberValueDatatype="130" unbalanced="0"/>
    <cacheHierarchy uniqueName="[Base_Vendas].[ano_pedido]" caption="ano_pedido" attribute="1" defaultMemberUniqueName="[Base_Vendas].[ano_pedido].[All]" allUniqueName="[Base_Vendas].[ano_pedido].[All]" dimensionUniqueName="[Base_Vendas]" displayFolder="" count="2" memberValueDatatype="20" unbalanced="0">
      <fieldsUsage count="2">
        <fieldUsage x="-1"/>
        <fieldUsage x="0"/>
      </fieldsUsage>
    </cacheHierarchy>
    <cacheHierarchy uniqueName="[Base_Vendas].[mes_pedido]" caption="mes_pedido" attribute="1" defaultMemberUniqueName="[Base_Vendas].[mes_pedido].[All]" allUniqueName="[Base_Vendas].[mes_pedido].[All]" dimensionUniqueName="[Base_Vendas]" displayFolder="" count="2" memberValueDatatype="20" unbalanced="0">
      <fieldsUsage count="2">
        <fieldUsage x="-1"/>
        <fieldUsage x="1"/>
      </fieldsUsage>
    </cacheHierarchy>
    <cacheHierarchy uniqueName="[Base_Vendas].[id_cliente]" caption="id_cliente" attribute="1" defaultMemberUniqueName="[Base_Vendas].[id_cliente].[All]" allUniqueName="[Base_Vendas].[id_cliente].[All]" dimensionUniqueName="[Base_Vendas]" displayFolder="" count="0" memberValueDatatype="20" unbalanced="0"/>
    <cacheHierarchy uniqueName="[Base_Vendas].[nome_cliente]" caption="nome_cliente" attribute="1" defaultMemberUniqueName="[Base_Vendas].[nome_cliente].[All]" allUniqueName="[Base_Vendas].[nome_cliente].[All]" dimensionUniqueName="[Base_Vendas]" displayFolder="" count="0" memberValueDatatype="130" unbalanced="0"/>
    <cacheHierarchy uniqueName="[Base_Vendas].[tipo_cliente]" caption="tipo_cliente" attribute="1" defaultMemberUniqueName="[Base_Vendas].[tipo_cliente].[All]" allUniqueName="[Base_Vendas].[tipo_cliente].[All]" dimensionUniqueName="[Base_Vendas]" displayFolder="" count="0" memberValueDatatype="130" unbalanced="0"/>
    <cacheHierarchy uniqueName="[Base_Vendas].[cidade]" caption="cidade" attribute="1" defaultMemberUniqueName="[Base_Vendas].[cidade].[All]" allUniqueName="[Base_Vendas].[cidade].[All]" dimensionUniqueName="[Base_Vendas]" displayFolder="" count="0" memberValueDatatype="130" unbalanced="0"/>
    <cacheHierarchy uniqueName="[Base_Vendas].[estado]" caption="estado" attribute="1" defaultMemberUniqueName="[Base_Vendas].[estado].[All]" allUniqueName="[Base_Vendas].[estado].[All]" dimensionUniqueName="[Base_Vendas]" displayFolder="" count="0" memberValueDatatype="130" unbalanced="0"/>
    <cacheHierarchy uniqueName="[Base_Vendas].[id_produto]" caption="id_produto" attribute="1" defaultMemberUniqueName="[Base_Vendas].[id_produto].[All]" allUniqueName="[Base_Vendas].[id_produto].[All]" dimensionUniqueName="[Base_Vendas]" displayFolder="" count="0" memberValueDatatype="20" unbalanced="0"/>
    <cacheHierarchy uniqueName="[Base_Vendas].[nome_produto]" caption="nome_produto" attribute="1" defaultMemberUniqueName="[Base_Vendas].[nome_produto].[All]" allUniqueName="[Base_Vendas].[nome_produto].[All]" dimensionUniqueName="[Base_Vendas]" displayFolder="" count="0" memberValueDatatype="130" unbalanced="0"/>
    <cacheHierarchy uniqueName="[Base_Vendas].[categoria_produto]" caption="categoria_produto" attribute="1" defaultMemberUniqueName="[Base_Vendas].[categoria_produto].[All]" allUniqueName="[Base_Vendas].[categoria_produto].[All]" dimensionUniqueName="[Base_Vendas]" displayFolder="" count="2" memberValueDatatype="130" unbalanced="0">
      <fieldsUsage count="2">
        <fieldUsage x="-1"/>
        <fieldUsage x="5"/>
      </fieldsUsage>
    </cacheHierarchy>
    <cacheHierarchy uniqueName="[Base_Vendas].[quantidade]" caption="quantidade" attribute="1" defaultMemberUniqueName="[Base_Vendas].[quantidade].[All]" allUniqueName="[Base_Vendas].[quantidade].[All]" dimensionUniqueName="[Base_Vendas]" displayFolder="" count="0" memberValueDatatype="20" unbalanced="0"/>
    <cacheHierarchy uniqueName="[Base_Vendas].[preco_unitario]" caption="preco_unitario" attribute="1" defaultMemberUniqueName="[Base_Vendas].[preco_unitario].[All]" allUniqueName="[Base_Vendas].[preco_unitario].[All]" dimensionUniqueName="[Base_Vendas]" displayFolder="" count="0" memberValueDatatype="20" unbalanced="0"/>
    <cacheHierarchy uniqueName="[Base_Vendas].[valor_item]" caption="valor_item" attribute="1" defaultMemberUniqueName="[Base_Vendas].[valor_item].[All]" allUniqueName="[Base_Vendas].[valor_item].[All]" dimensionUniqueName="[Base_Vendas]" displayFolder="" count="0" memberValueDatatype="20" unbalanced="0"/>
    <cacheHierarchy uniqueName="[Base_Vendas].[valor_frete]" caption="valor_frete" attribute="1" defaultMemberUniqueName="[Base_Vendas].[valor_frete].[All]" allUniqueName="[Base_Vendas].[valor_frete].[All]" dimensionUniqueName="[Base_Vendas]" displayFolder="" count="0" memberValueDatatype="20" unbalanced="0"/>
    <cacheHierarchy uniqueName="[Base_Vendas].[status_pedido]" caption="status_pedido" attribute="1" defaultMemberUniqueName="[Base_Vendas].[status_pedido].[All]" allUniqueName="[Base_Vendas].[status_pedido].[All]" dimensionUniqueName="[Base_Vendas]" displayFolder="" count="2" memberValueDatatype="130" unbalanced="0">
      <fieldsUsage count="2">
        <fieldUsage x="-1"/>
        <fieldUsage x="3"/>
      </fieldsUsage>
    </cacheHierarchy>
    <cacheHierarchy uniqueName="[Base_Vendas].[forma_pagamento]" caption="forma_pagamento" attribute="1" defaultMemberUniqueName="[Base_Vendas].[forma_pagamento].[All]" allUniqueName="[Base_Vendas].[forma_pagamento].[All]" dimensionUniqueName="[Base_Vendas]" displayFolder="" count="2" memberValueDatatype="130" unbalanced="0"/>
    <cacheHierarchy uniqueName="[Base_Vendas].[status_entrega]" caption="status_entrega" attribute="1" defaultMemberUniqueName="[Base_Vendas].[status_entrega].[All]" allUniqueName="[Base_Vendas].[status_entrega].[All]" dimensionUniqueName="[Base_Vendas]" displayFolder="" count="2" memberValueDatatype="130" unbalanced="0">
      <fieldsUsage count="2">
        <fieldUsage x="-1"/>
        <fieldUsage x="2"/>
      </fieldsUsage>
    </cacheHierarchy>
    <cacheHierarchy uniqueName="[Base_Vendas].[data_envio]" caption="data_envio" attribute="1" defaultMemberUniqueName="[Base_Vendas].[data_envio].[All]" allUniqueName="[Base_Vendas].[data_envio].[All]" dimensionUniqueName="[Base_Vendas]" displayFolder="" count="0" memberValueDatatype="130" unbalanced="0"/>
    <cacheHierarchy uniqueName="[Base_Vendas].[data_entrega]" caption="data_entrega" attribute="1" defaultMemberUniqueName="[Base_Vendas].[data_entrega].[All]" allUniqueName="[Base_Vendas].[data_entrega].[All]" dimensionUniqueName="[Base_Vendas]" displayFolder="" count="0" memberValueDatatype="130" unbalanced="0"/>
    <cacheHierarchy uniqueName="[Base_Vendas].[codigo_rastreio]" caption="codigo_rastreio" attribute="1" defaultMemberUniqueName="[Base_Vendas].[codigo_rastreio].[All]" allUniqueName="[Base_Vendas].[codigo_rastreio].[All]" dimensionUniqueName="[Base_Vendas]" displayFolder="" count="0" memberValueDatatype="130" unbalanced="0"/>
    <cacheHierarchy uniqueName="[Measures].[Contagem de id_pedido]" caption="Contagem de id_pedido" measure="1" displayFolder="" measureGroup="Base_Venda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istinta de id_pedido]" caption="Contagem Distinta de id_pedido" measure="1" displayFolder="" measureGroup="Base_Venda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oma de valor_item]" caption="Soma de valor_item" measure="1" displayFolder="" measureGroup="Base_Vendas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mes_pedido]" caption="Soma de mes_pedido" measure="1" displayFolder="" measureGroup="Base_Venda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Faturamento_Total]" caption="Faturamento_Total" measure="1" displayFolder="" measureGroup="Base_Vendas" count="0"/>
    <cacheHierarchy uniqueName="[Measures].[Qnt_Pedidos]" caption="Qnt_Pedidos" measure="1" displayFolder="" measureGroup="Base_Vendas" count="0"/>
    <cacheHierarchy uniqueName="[Measures].[Ticket_Medio]" caption="Ticket_Medio" measure="1" displayFolder="" measureGroup="Base_Vendas" count="0"/>
    <cacheHierarchy uniqueName="[Measures].[Qnt_Itens]" caption="Qnt_Itens" measure="1" displayFolder="" measureGroup="Base_Vendas" count="0"/>
    <cacheHierarchy uniqueName="[Measures].[Clientes_Ativos]" caption="Clientes_Ativos" measure="1" displayFolder="" measureGroup="Base_Vendas" count="0"/>
    <cacheHierarchy uniqueName="[Measures].[__XL_Count Base_Vendas]" caption="__XL_Count Base_Vendas" measure="1" displayFolder="" measureGroup="Base_Vendas" count="0" hidden="1"/>
    <cacheHierarchy uniqueName="[Measures].[__No measures defined]" caption="__No measures defined" measure="1" displayFolder="" count="0" hidden="1"/>
  </cacheHierarchies>
  <kpis count="0"/>
  <dimensions count="2">
    <dimension name="Base_Vendas" uniqueName="[Base_Vendas]" caption="Base_Vendas"/>
    <dimension measure="1" name="Measures" uniqueName="[Measures]" caption="Measures"/>
  </dimensions>
  <measureGroups count="1">
    <measureGroup name="Base_Vendas" caption="Base_Venda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ri" refreshedDate="45984.826137962962" backgroundQuery="1" createdVersion="8" refreshedVersion="8" minRefreshableVersion="3" recordCount="0" supportSubquery="1" supportAdvancedDrill="1" xr:uid="{A9723CA5-6B30-4E99-9B55-20C43F081C4D}">
  <cacheSource type="external" connectionId="1"/>
  <cacheFields count="6">
    <cacheField name="[Base_Vendas].[status_pedido].[status_pedido]" caption="status_pedido" numFmtId="0" hierarchy="16" level="1">
      <sharedItems count="5">
        <s v=" Cancelado"/>
        <s v=" Em Processamento"/>
        <s v=" Entregue"/>
        <s v=" Enviado"/>
        <s v=" Pago"/>
      </sharedItems>
    </cacheField>
    <cacheField name="[Base_Vendas].[ano_pedido].[ano_pedido]" caption="ano_pedido" numFmtId="0" hierarchy="2" level="1">
      <sharedItems containsSemiMixedTypes="0" containsNonDate="0" containsString="0"/>
    </cacheField>
    <cacheField name="[Base_Vendas].[mes_pedido].[mes_pedido]" caption="mes_pedido" numFmtId="0" hierarchy="3" level="1">
      <sharedItems containsSemiMixedTypes="0" containsNonDate="0" containsString="0"/>
    </cacheField>
    <cacheField name="[Base_Vendas].[status_entrega].[status_entrega]" caption="status_entrega" numFmtId="0" hierarchy="18" level="1">
      <sharedItems containsSemiMixedTypes="0" containsNonDate="0" containsString="0"/>
    </cacheField>
    <cacheField name="[Measures].[Qnt_Pedidos]" caption="Qnt_Pedidos" numFmtId="0" hierarchy="27" level="32767"/>
    <cacheField name="[Base_Vendas].[categoria_produto].[categoria_produto]" caption="categoria_produto" numFmtId="0" hierarchy="11" level="1">
      <sharedItems containsSemiMixedTypes="0" containsNonDate="0" containsString="0"/>
    </cacheField>
  </cacheFields>
  <cacheHierarchies count="33">
    <cacheHierarchy uniqueName="[Base_Vendas].[id_pedido]" caption="id_pedido" attribute="1" defaultMemberUniqueName="[Base_Vendas].[id_pedido].[All]" allUniqueName="[Base_Vendas].[id_pedido].[All]" dimensionUniqueName="[Base_Vendas]" displayFolder="" count="0" memberValueDatatype="130" unbalanced="0"/>
    <cacheHierarchy uniqueName="[Base_Vendas].[data_pedido]" caption="data_pedido" attribute="1" defaultMemberUniqueName="[Base_Vendas].[data_pedido].[All]" allUniqueName="[Base_Vendas].[data_pedido].[All]" dimensionUniqueName="[Base_Vendas]" displayFolder="" count="0" memberValueDatatype="130" unbalanced="0"/>
    <cacheHierarchy uniqueName="[Base_Vendas].[ano_pedido]" caption="ano_pedido" attribute="1" defaultMemberUniqueName="[Base_Vendas].[ano_pedido].[All]" allUniqueName="[Base_Vendas].[ano_pedido].[All]" dimensionUniqueName="[Base_Vendas]" displayFolder="" count="2" memberValueDatatype="20" unbalanced="0">
      <fieldsUsage count="2">
        <fieldUsage x="-1"/>
        <fieldUsage x="1"/>
      </fieldsUsage>
    </cacheHierarchy>
    <cacheHierarchy uniqueName="[Base_Vendas].[mes_pedido]" caption="mes_pedido" attribute="1" defaultMemberUniqueName="[Base_Vendas].[mes_pedido].[All]" allUniqueName="[Base_Vendas].[mes_pedido].[All]" dimensionUniqueName="[Base_Vendas]" displayFolder="" count="2" memberValueDatatype="20" unbalanced="0">
      <fieldsUsage count="2">
        <fieldUsage x="-1"/>
        <fieldUsage x="2"/>
      </fieldsUsage>
    </cacheHierarchy>
    <cacheHierarchy uniqueName="[Base_Vendas].[id_cliente]" caption="id_cliente" attribute="1" defaultMemberUniqueName="[Base_Vendas].[id_cliente].[All]" allUniqueName="[Base_Vendas].[id_cliente].[All]" dimensionUniqueName="[Base_Vendas]" displayFolder="" count="0" memberValueDatatype="20" unbalanced="0"/>
    <cacheHierarchy uniqueName="[Base_Vendas].[nome_cliente]" caption="nome_cliente" attribute="1" defaultMemberUniqueName="[Base_Vendas].[nome_cliente].[All]" allUniqueName="[Base_Vendas].[nome_cliente].[All]" dimensionUniqueName="[Base_Vendas]" displayFolder="" count="0" memberValueDatatype="130" unbalanced="0"/>
    <cacheHierarchy uniqueName="[Base_Vendas].[tipo_cliente]" caption="tipo_cliente" attribute="1" defaultMemberUniqueName="[Base_Vendas].[tipo_cliente].[All]" allUniqueName="[Base_Vendas].[tipo_cliente].[All]" dimensionUniqueName="[Base_Vendas]" displayFolder="" count="0" memberValueDatatype="130" unbalanced="0"/>
    <cacheHierarchy uniqueName="[Base_Vendas].[cidade]" caption="cidade" attribute="1" defaultMemberUniqueName="[Base_Vendas].[cidade].[All]" allUniqueName="[Base_Vendas].[cidade].[All]" dimensionUniqueName="[Base_Vendas]" displayFolder="" count="0" memberValueDatatype="130" unbalanced="0"/>
    <cacheHierarchy uniqueName="[Base_Vendas].[estado]" caption="estado" attribute="1" defaultMemberUniqueName="[Base_Vendas].[estado].[All]" allUniqueName="[Base_Vendas].[estado].[All]" dimensionUniqueName="[Base_Vendas]" displayFolder="" count="0" memberValueDatatype="130" unbalanced="0"/>
    <cacheHierarchy uniqueName="[Base_Vendas].[id_produto]" caption="id_produto" attribute="1" defaultMemberUniqueName="[Base_Vendas].[id_produto].[All]" allUniqueName="[Base_Vendas].[id_produto].[All]" dimensionUniqueName="[Base_Vendas]" displayFolder="" count="0" memberValueDatatype="20" unbalanced="0"/>
    <cacheHierarchy uniqueName="[Base_Vendas].[nome_produto]" caption="nome_produto" attribute="1" defaultMemberUniqueName="[Base_Vendas].[nome_produto].[All]" allUniqueName="[Base_Vendas].[nome_produto].[All]" dimensionUniqueName="[Base_Vendas]" displayFolder="" count="0" memberValueDatatype="130" unbalanced="0"/>
    <cacheHierarchy uniqueName="[Base_Vendas].[categoria_produto]" caption="categoria_produto" attribute="1" defaultMemberUniqueName="[Base_Vendas].[categoria_produto].[All]" allUniqueName="[Base_Vendas].[categoria_produto].[All]" dimensionUniqueName="[Base_Vendas]" displayFolder="" count="2" memberValueDatatype="130" unbalanced="0">
      <fieldsUsage count="2">
        <fieldUsage x="-1"/>
        <fieldUsage x="5"/>
      </fieldsUsage>
    </cacheHierarchy>
    <cacheHierarchy uniqueName="[Base_Vendas].[quantidade]" caption="quantidade" attribute="1" defaultMemberUniqueName="[Base_Vendas].[quantidade].[All]" allUniqueName="[Base_Vendas].[quantidade].[All]" dimensionUniqueName="[Base_Vendas]" displayFolder="" count="0" memberValueDatatype="20" unbalanced="0"/>
    <cacheHierarchy uniqueName="[Base_Vendas].[preco_unitario]" caption="preco_unitario" attribute="1" defaultMemberUniqueName="[Base_Vendas].[preco_unitario].[All]" allUniqueName="[Base_Vendas].[preco_unitario].[All]" dimensionUniqueName="[Base_Vendas]" displayFolder="" count="0" memberValueDatatype="20" unbalanced="0"/>
    <cacheHierarchy uniqueName="[Base_Vendas].[valor_item]" caption="valor_item" attribute="1" defaultMemberUniqueName="[Base_Vendas].[valor_item].[All]" allUniqueName="[Base_Vendas].[valor_item].[All]" dimensionUniqueName="[Base_Vendas]" displayFolder="" count="0" memberValueDatatype="20" unbalanced="0"/>
    <cacheHierarchy uniqueName="[Base_Vendas].[valor_frete]" caption="valor_frete" attribute="1" defaultMemberUniqueName="[Base_Vendas].[valor_frete].[All]" allUniqueName="[Base_Vendas].[valor_frete].[All]" dimensionUniqueName="[Base_Vendas]" displayFolder="" count="0" memberValueDatatype="20" unbalanced="0"/>
    <cacheHierarchy uniqueName="[Base_Vendas].[status_pedido]" caption="status_pedido" attribute="1" defaultMemberUniqueName="[Base_Vendas].[status_pedido].[All]" allUniqueName="[Base_Vendas].[status_pedido].[All]" dimensionUniqueName="[Base_Vendas]" displayFolder="" count="2" memberValueDatatype="130" unbalanced="0">
      <fieldsUsage count="2">
        <fieldUsage x="-1"/>
        <fieldUsage x="0"/>
      </fieldsUsage>
    </cacheHierarchy>
    <cacheHierarchy uniqueName="[Base_Vendas].[forma_pagamento]" caption="forma_pagamento" attribute="1" defaultMemberUniqueName="[Base_Vendas].[forma_pagamento].[All]" allUniqueName="[Base_Vendas].[forma_pagamento].[All]" dimensionUniqueName="[Base_Vendas]" displayFolder="" count="2" memberValueDatatype="130" unbalanced="0"/>
    <cacheHierarchy uniqueName="[Base_Vendas].[status_entrega]" caption="status_entrega" attribute="1" defaultMemberUniqueName="[Base_Vendas].[status_entrega].[All]" allUniqueName="[Base_Vendas].[status_entrega].[All]" dimensionUniqueName="[Base_Vendas]" displayFolder="" count="2" memberValueDatatype="130" unbalanced="0">
      <fieldsUsage count="2">
        <fieldUsage x="-1"/>
        <fieldUsage x="3"/>
      </fieldsUsage>
    </cacheHierarchy>
    <cacheHierarchy uniqueName="[Base_Vendas].[data_envio]" caption="data_envio" attribute="1" defaultMemberUniqueName="[Base_Vendas].[data_envio].[All]" allUniqueName="[Base_Vendas].[data_envio].[All]" dimensionUniqueName="[Base_Vendas]" displayFolder="" count="0" memberValueDatatype="130" unbalanced="0"/>
    <cacheHierarchy uniqueName="[Base_Vendas].[data_entrega]" caption="data_entrega" attribute="1" defaultMemberUniqueName="[Base_Vendas].[data_entrega].[All]" allUniqueName="[Base_Vendas].[data_entrega].[All]" dimensionUniqueName="[Base_Vendas]" displayFolder="" count="0" memberValueDatatype="130" unbalanced="0"/>
    <cacheHierarchy uniqueName="[Base_Vendas].[codigo_rastreio]" caption="codigo_rastreio" attribute="1" defaultMemberUniqueName="[Base_Vendas].[codigo_rastreio].[All]" allUniqueName="[Base_Vendas].[codigo_rastreio].[All]" dimensionUniqueName="[Base_Vendas]" displayFolder="" count="0" memberValueDatatype="130" unbalanced="0"/>
    <cacheHierarchy uniqueName="[Measures].[Contagem de id_pedido]" caption="Contagem de id_pedido" measure="1" displayFolder="" measureGroup="Base_Venda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istinta de id_pedido]" caption="Contagem Distinta de id_pedido" measure="1" displayFolder="" measureGroup="Base_Venda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oma de valor_item]" caption="Soma de valor_item" measure="1" displayFolder="" measureGroup="Base_Venda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mes_pedido]" caption="Soma de mes_pedido" measure="1" displayFolder="" measureGroup="Base_Venda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Faturamento_Total]" caption="Faturamento_Total" measure="1" displayFolder="" measureGroup="Base_Vendas" count="0"/>
    <cacheHierarchy uniqueName="[Measures].[Qnt_Pedidos]" caption="Qnt_Pedidos" measure="1" displayFolder="" measureGroup="Base_Vendas" count="0" oneField="1">
      <fieldsUsage count="1">
        <fieldUsage x="4"/>
      </fieldsUsage>
    </cacheHierarchy>
    <cacheHierarchy uniqueName="[Measures].[Ticket_Medio]" caption="Ticket_Medio" measure="1" displayFolder="" measureGroup="Base_Vendas" count="0"/>
    <cacheHierarchy uniqueName="[Measures].[Qnt_Itens]" caption="Qnt_Itens" measure="1" displayFolder="" measureGroup="Base_Vendas" count="0"/>
    <cacheHierarchy uniqueName="[Measures].[Clientes_Ativos]" caption="Clientes_Ativos" measure="1" displayFolder="" measureGroup="Base_Vendas" count="0"/>
    <cacheHierarchy uniqueName="[Measures].[__XL_Count Base_Vendas]" caption="__XL_Count Base_Vendas" measure="1" displayFolder="" measureGroup="Base_Vendas" count="0" hidden="1"/>
    <cacheHierarchy uniqueName="[Measures].[__No measures defined]" caption="__No measures defined" measure="1" displayFolder="" count="0" hidden="1"/>
  </cacheHierarchies>
  <kpis count="0"/>
  <dimensions count="2">
    <dimension name="Base_Vendas" uniqueName="[Base_Vendas]" caption="Base_Vendas"/>
    <dimension measure="1" name="Measures" uniqueName="[Measures]" caption="Measures"/>
  </dimensions>
  <measureGroups count="1">
    <measureGroup name="Base_Vendas" caption="Base_Venda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ri" refreshedDate="45984.82613854167" backgroundQuery="1" createdVersion="8" refreshedVersion="8" minRefreshableVersion="3" recordCount="0" supportSubquery="1" supportAdvancedDrill="1" xr:uid="{879D50B5-BE8B-4773-ADE0-6C6B642EB237}">
  <cacheSource type="external" connectionId="1"/>
  <cacheFields count="7">
    <cacheField name="[Base_Vendas].[cidade].[cidade]" caption="cidade" numFmtId="0" hierarchy="7" level="1">
      <sharedItems count="11">
        <s v=" Camboriú"/>
        <s v=" Campinas"/>
        <s v=" Curitiba"/>
        <s v=" Joinville"/>
        <s v=" Londrina"/>
        <s v=" Maringá"/>
        <s v=" Ponta Grossa"/>
        <s v=" Rio de Janeiro"/>
        <s v=" São José dos Pinhais"/>
        <s v=" São Paulo"/>
        <s v=" Volta Redonda"/>
      </sharedItems>
    </cacheField>
    <cacheField name="[Measures].[Faturamento_Total]" caption="Faturamento_Total" numFmtId="0" hierarchy="26" level="32767"/>
    <cacheField name="[Base_Vendas].[ano_pedido].[ano_pedido]" caption="ano_pedido" numFmtId="0" hierarchy="2" level="1">
      <sharedItems containsSemiMixedTypes="0" containsNonDate="0" containsString="0"/>
    </cacheField>
    <cacheField name="[Base_Vendas].[mes_pedido].[mes_pedido]" caption="mes_pedido" numFmtId="0" hierarchy="3" level="1">
      <sharedItems containsSemiMixedTypes="0" containsNonDate="0" containsString="0"/>
    </cacheField>
    <cacheField name="[Base_Vendas].[status_entrega].[status_entrega]" caption="status_entrega" numFmtId="0" hierarchy="18" level="1">
      <sharedItems containsSemiMixedTypes="0" containsNonDate="0" containsString="0"/>
    </cacheField>
    <cacheField name="[Base_Vendas].[status_pedido].[status_pedido]" caption="status_pedido" numFmtId="0" hierarchy="16" level="1">
      <sharedItems containsSemiMixedTypes="0" containsNonDate="0" containsString="0"/>
    </cacheField>
    <cacheField name="[Base_Vendas].[categoria_produto].[categoria_produto]" caption="categoria_produto" numFmtId="0" hierarchy="11" level="1">
      <sharedItems containsSemiMixedTypes="0" containsNonDate="0" containsString="0"/>
    </cacheField>
  </cacheFields>
  <cacheHierarchies count="33">
    <cacheHierarchy uniqueName="[Base_Vendas].[id_pedido]" caption="id_pedido" attribute="1" defaultMemberUniqueName="[Base_Vendas].[id_pedido].[All]" allUniqueName="[Base_Vendas].[id_pedido].[All]" dimensionUniqueName="[Base_Vendas]" displayFolder="" count="0" memberValueDatatype="130" unbalanced="0"/>
    <cacheHierarchy uniqueName="[Base_Vendas].[data_pedido]" caption="data_pedido" attribute="1" defaultMemberUniqueName="[Base_Vendas].[data_pedido].[All]" allUniqueName="[Base_Vendas].[data_pedido].[All]" dimensionUniqueName="[Base_Vendas]" displayFolder="" count="0" memberValueDatatype="130" unbalanced="0"/>
    <cacheHierarchy uniqueName="[Base_Vendas].[ano_pedido]" caption="ano_pedido" attribute="1" defaultMemberUniqueName="[Base_Vendas].[ano_pedido].[All]" allUniqueName="[Base_Vendas].[ano_pedido].[All]" dimensionUniqueName="[Base_Vendas]" displayFolder="" count="2" memberValueDatatype="20" unbalanced="0">
      <fieldsUsage count="2">
        <fieldUsage x="-1"/>
        <fieldUsage x="2"/>
      </fieldsUsage>
    </cacheHierarchy>
    <cacheHierarchy uniqueName="[Base_Vendas].[mes_pedido]" caption="mes_pedido" attribute="1" defaultMemberUniqueName="[Base_Vendas].[mes_pedido].[All]" allUniqueName="[Base_Vendas].[mes_pedido].[All]" dimensionUniqueName="[Base_Vendas]" displayFolder="" count="2" memberValueDatatype="20" unbalanced="0">
      <fieldsUsage count="2">
        <fieldUsage x="-1"/>
        <fieldUsage x="3"/>
      </fieldsUsage>
    </cacheHierarchy>
    <cacheHierarchy uniqueName="[Base_Vendas].[id_cliente]" caption="id_cliente" attribute="1" defaultMemberUniqueName="[Base_Vendas].[id_cliente].[All]" allUniqueName="[Base_Vendas].[id_cliente].[All]" dimensionUniqueName="[Base_Vendas]" displayFolder="" count="0" memberValueDatatype="20" unbalanced="0"/>
    <cacheHierarchy uniqueName="[Base_Vendas].[nome_cliente]" caption="nome_cliente" attribute="1" defaultMemberUniqueName="[Base_Vendas].[nome_cliente].[All]" allUniqueName="[Base_Vendas].[nome_cliente].[All]" dimensionUniqueName="[Base_Vendas]" displayFolder="" count="0" memberValueDatatype="130" unbalanced="0"/>
    <cacheHierarchy uniqueName="[Base_Vendas].[tipo_cliente]" caption="tipo_cliente" attribute="1" defaultMemberUniqueName="[Base_Vendas].[tipo_cliente].[All]" allUniqueName="[Base_Vendas].[tipo_cliente].[All]" dimensionUniqueName="[Base_Vendas]" displayFolder="" count="0" memberValueDatatype="130" unbalanced="0"/>
    <cacheHierarchy uniqueName="[Base_Vendas].[cidade]" caption="cidade" attribute="1" defaultMemberUniqueName="[Base_Vendas].[cidade].[All]" allUniqueName="[Base_Vendas].[cidade].[All]" dimensionUniqueName="[Base_Vendas]" displayFolder="" count="2" memberValueDatatype="130" unbalanced="0">
      <fieldsUsage count="2">
        <fieldUsage x="-1"/>
        <fieldUsage x="0"/>
      </fieldsUsage>
    </cacheHierarchy>
    <cacheHierarchy uniqueName="[Base_Vendas].[estado]" caption="estado" attribute="1" defaultMemberUniqueName="[Base_Vendas].[estado].[All]" allUniqueName="[Base_Vendas].[estado].[All]" dimensionUniqueName="[Base_Vendas]" displayFolder="" count="0" memberValueDatatype="130" unbalanced="0"/>
    <cacheHierarchy uniqueName="[Base_Vendas].[id_produto]" caption="id_produto" attribute="1" defaultMemberUniqueName="[Base_Vendas].[id_produto].[All]" allUniqueName="[Base_Vendas].[id_produto].[All]" dimensionUniqueName="[Base_Vendas]" displayFolder="" count="0" memberValueDatatype="20" unbalanced="0"/>
    <cacheHierarchy uniqueName="[Base_Vendas].[nome_produto]" caption="nome_produto" attribute="1" defaultMemberUniqueName="[Base_Vendas].[nome_produto].[All]" allUniqueName="[Base_Vendas].[nome_produto].[All]" dimensionUniqueName="[Base_Vendas]" displayFolder="" count="0" memberValueDatatype="130" unbalanced="0"/>
    <cacheHierarchy uniqueName="[Base_Vendas].[categoria_produto]" caption="categoria_produto" attribute="1" defaultMemberUniqueName="[Base_Vendas].[categoria_produto].[All]" allUniqueName="[Base_Vendas].[categoria_produto].[All]" dimensionUniqueName="[Base_Vendas]" displayFolder="" count="2" memberValueDatatype="130" unbalanced="0">
      <fieldsUsage count="2">
        <fieldUsage x="-1"/>
        <fieldUsage x="6"/>
      </fieldsUsage>
    </cacheHierarchy>
    <cacheHierarchy uniqueName="[Base_Vendas].[quantidade]" caption="quantidade" attribute="1" defaultMemberUniqueName="[Base_Vendas].[quantidade].[All]" allUniqueName="[Base_Vendas].[quantidade].[All]" dimensionUniqueName="[Base_Vendas]" displayFolder="" count="0" memberValueDatatype="20" unbalanced="0"/>
    <cacheHierarchy uniqueName="[Base_Vendas].[preco_unitario]" caption="preco_unitario" attribute="1" defaultMemberUniqueName="[Base_Vendas].[preco_unitario].[All]" allUniqueName="[Base_Vendas].[preco_unitario].[All]" dimensionUniqueName="[Base_Vendas]" displayFolder="" count="0" memberValueDatatype="20" unbalanced="0"/>
    <cacheHierarchy uniqueName="[Base_Vendas].[valor_item]" caption="valor_item" attribute="1" defaultMemberUniqueName="[Base_Vendas].[valor_item].[All]" allUniqueName="[Base_Vendas].[valor_item].[All]" dimensionUniqueName="[Base_Vendas]" displayFolder="" count="0" memberValueDatatype="20" unbalanced="0"/>
    <cacheHierarchy uniqueName="[Base_Vendas].[valor_frete]" caption="valor_frete" attribute="1" defaultMemberUniqueName="[Base_Vendas].[valor_frete].[All]" allUniqueName="[Base_Vendas].[valor_frete].[All]" dimensionUniqueName="[Base_Vendas]" displayFolder="" count="0" memberValueDatatype="20" unbalanced="0"/>
    <cacheHierarchy uniqueName="[Base_Vendas].[status_pedido]" caption="status_pedido" attribute="1" defaultMemberUniqueName="[Base_Vendas].[status_pedido].[All]" allUniqueName="[Base_Vendas].[status_pedido].[All]" dimensionUniqueName="[Base_Vendas]" displayFolder="" count="2" memberValueDatatype="130" unbalanced="0">
      <fieldsUsage count="2">
        <fieldUsage x="-1"/>
        <fieldUsage x="5"/>
      </fieldsUsage>
    </cacheHierarchy>
    <cacheHierarchy uniqueName="[Base_Vendas].[forma_pagamento]" caption="forma_pagamento" attribute="1" defaultMemberUniqueName="[Base_Vendas].[forma_pagamento].[All]" allUniqueName="[Base_Vendas].[forma_pagamento].[All]" dimensionUniqueName="[Base_Vendas]" displayFolder="" count="2" memberValueDatatype="130" unbalanced="0"/>
    <cacheHierarchy uniqueName="[Base_Vendas].[status_entrega]" caption="status_entrega" attribute="1" defaultMemberUniqueName="[Base_Vendas].[status_entrega].[All]" allUniqueName="[Base_Vendas].[status_entrega].[All]" dimensionUniqueName="[Base_Vendas]" displayFolder="" count="2" memberValueDatatype="130" unbalanced="0">
      <fieldsUsage count="2">
        <fieldUsage x="-1"/>
        <fieldUsage x="4"/>
      </fieldsUsage>
    </cacheHierarchy>
    <cacheHierarchy uniqueName="[Base_Vendas].[data_envio]" caption="data_envio" attribute="1" defaultMemberUniqueName="[Base_Vendas].[data_envio].[All]" allUniqueName="[Base_Vendas].[data_envio].[All]" dimensionUniqueName="[Base_Vendas]" displayFolder="" count="0" memberValueDatatype="130" unbalanced="0"/>
    <cacheHierarchy uniqueName="[Base_Vendas].[data_entrega]" caption="data_entrega" attribute="1" defaultMemberUniqueName="[Base_Vendas].[data_entrega].[All]" allUniqueName="[Base_Vendas].[data_entrega].[All]" dimensionUniqueName="[Base_Vendas]" displayFolder="" count="0" memberValueDatatype="130" unbalanced="0"/>
    <cacheHierarchy uniqueName="[Base_Vendas].[codigo_rastreio]" caption="codigo_rastreio" attribute="1" defaultMemberUniqueName="[Base_Vendas].[codigo_rastreio].[All]" allUniqueName="[Base_Vendas].[codigo_rastreio].[All]" dimensionUniqueName="[Base_Vendas]" displayFolder="" count="0" memberValueDatatype="130" unbalanced="0"/>
    <cacheHierarchy uniqueName="[Measures].[Contagem de id_pedido]" caption="Contagem de id_pedido" measure="1" displayFolder="" measureGroup="Base_Venda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istinta de id_pedido]" caption="Contagem Distinta de id_pedido" measure="1" displayFolder="" measureGroup="Base_Venda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oma de valor_item]" caption="Soma de valor_item" measure="1" displayFolder="" measureGroup="Base_Venda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mes_pedido]" caption="Soma de mes_pedido" measure="1" displayFolder="" measureGroup="Base_Venda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Faturamento_Total]" caption="Faturamento_Total" measure="1" displayFolder="" measureGroup="Base_Vendas" count="0" oneField="1">
      <fieldsUsage count="1">
        <fieldUsage x="1"/>
      </fieldsUsage>
    </cacheHierarchy>
    <cacheHierarchy uniqueName="[Measures].[Qnt_Pedidos]" caption="Qnt_Pedidos" measure="1" displayFolder="" measureGroup="Base_Vendas" count="0"/>
    <cacheHierarchy uniqueName="[Measures].[Ticket_Medio]" caption="Ticket_Medio" measure="1" displayFolder="" measureGroup="Base_Vendas" count="0"/>
    <cacheHierarchy uniqueName="[Measures].[Qnt_Itens]" caption="Qnt_Itens" measure="1" displayFolder="" measureGroup="Base_Vendas" count="0"/>
    <cacheHierarchy uniqueName="[Measures].[Clientes_Ativos]" caption="Clientes_Ativos" measure="1" displayFolder="" measureGroup="Base_Vendas" count="0"/>
    <cacheHierarchy uniqueName="[Measures].[__XL_Count Base_Vendas]" caption="__XL_Count Base_Vendas" measure="1" displayFolder="" measureGroup="Base_Vendas" count="0" hidden="1"/>
    <cacheHierarchy uniqueName="[Measures].[__No measures defined]" caption="__No measures defined" measure="1" displayFolder="" count="0" hidden="1"/>
  </cacheHierarchies>
  <kpis count="0"/>
  <dimensions count="2">
    <dimension name="Base_Vendas" uniqueName="[Base_Vendas]" caption="Base_Vendas"/>
    <dimension measure="1" name="Measures" uniqueName="[Measures]" caption="Measures"/>
  </dimensions>
  <measureGroups count="1">
    <measureGroup name="Base_Vendas" caption="Base_Venda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ri" refreshedDate="45984.826138888886" backgroundQuery="1" createdVersion="8" refreshedVersion="8" minRefreshableVersion="3" recordCount="0" supportSubquery="1" supportAdvancedDrill="1" xr:uid="{384A3560-E7D5-45D7-84ED-ACCE5F62EDC0}">
  <cacheSource type="external" connectionId="1"/>
  <cacheFields count="6">
    <cacheField name="[Measures].[Faturamento_Total]" caption="Faturamento_Total" numFmtId="0" hierarchy="26" level="32767"/>
    <cacheField name="[Base_Vendas].[ano_pedido].[ano_pedido]" caption="ano_pedido" numFmtId="0" hierarchy="2" level="1">
      <sharedItems containsSemiMixedTypes="0" containsNonDate="0" containsString="0"/>
    </cacheField>
    <cacheField name="[Base_Vendas].[mes_pedido].[mes_pedido]" caption="mes_pedido" numFmtId="0" hierarchy="3" level="1">
      <sharedItems containsSemiMixedTypes="0" containsNonDate="0" containsString="0"/>
    </cacheField>
    <cacheField name="[Base_Vendas].[status_pedido].[status_pedido]" caption="status_pedido" numFmtId="0" hierarchy="16" level="1">
      <sharedItems containsSemiMixedTypes="0" containsNonDate="0" containsString="0"/>
    </cacheField>
    <cacheField name="[Base_Vendas].[status_entrega].[status_entrega]" caption="status_entrega" numFmtId="0" hierarchy="18" level="1">
      <sharedItems containsSemiMixedTypes="0" containsNonDate="0" containsString="0"/>
    </cacheField>
    <cacheField name="[Base_Vendas].[categoria_produto].[categoria_produto]" caption="categoria_produto" numFmtId="0" hierarchy="11" level="1">
      <sharedItems containsSemiMixedTypes="0" containsNonDate="0" containsString="0"/>
    </cacheField>
  </cacheFields>
  <cacheHierarchies count="33">
    <cacheHierarchy uniqueName="[Base_Vendas].[id_pedido]" caption="id_pedido" attribute="1" defaultMemberUniqueName="[Base_Vendas].[id_pedido].[All]" allUniqueName="[Base_Vendas].[id_pedido].[All]" dimensionUniqueName="[Base_Vendas]" displayFolder="" count="0" memberValueDatatype="130" unbalanced="0"/>
    <cacheHierarchy uniqueName="[Base_Vendas].[data_pedido]" caption="data_pedido" attribute="1" defaultMemberUniqueName="[Base_Vendas].[data_pedido].[All]" allUniqueName="[Base_Vendas].[data_pedido].[All]" dimensionUniqueName="[Base_Vendas]" displayFolder="" count="0" memberValueDatatype="130" unbalanced="0"/>
    <cacheHierarchy uniqueName="[Base_Vendas].[ano_pedido]" caption="ano_pedido" attribute="1" defaultMemberUniqueName="[Base_Vendas].[ano_pedido].[All]" allUniqueName="[Base_Vendas].[ano_pedido].[All]" dimensionUniqueName="[Base_Vendas]" displayFolder="" count="2" memberValueDatatype="20" unbalanced="0">
      <fieldsUsage count="2">
        <fieldUsage x="-1"/>
        <fieldUsage x="1"/>
      </fieldsUsage>
    </cacheHierarchy>
    <cacheHierarchy uniqueName="[Base_Vendas].[mes_pedido]" caption="mes_pedido" attribute="1" defaultMemberUniqueName="[Base_Vendas].[mes_pedido].[All]" allUniqueName="[Base_Vendas].[mes_pedido].[All]" dimensionUniqueName="[Base_Vendas]" displayFolder="" count="2" memberValueDatatype="20" unbalanced="0">
      <fieldsUsage count="2">
        <fieldUsage x="-1"/>
        <fieldUsage x="2"/>
      </fieldsUsage>
    </cacheHierarchy>
    <cacheHierarchy uniqueName="[Base_Vendas].[id_cliente]" caption="id_cliente" attribute="1" defaultMemberUniqueName="[Base_Vendas].[id_cliente].[All]" allUniqueName="[Base_Vendas].[id_cliente].[All]" dimensionUniqueName="[Base_Vendas]" displayFolder="" count="0" memberValueDatatype="20" unbalanced="0"/>
    <cacheHierarchy uniqueName="[Base_Vendas].[nome_cliente]" caption="nome_cliente" attribute="1" defaultMemberUniqueName="[Base_Vendas].[nome_cliente].[All]" allUniqueName="[Base_Vendas].[nome_cliente].[All]" dimensionUniqueName="[Base_Vendas]" displayFolder="" count="0" memberValueDatatype="130" unbalanced="0"/>
    <cacheHierarchy uniqueName="[Base_Vendas].[tipo_cliente]" caption="tipo_cliente" attribute="1" defaultMemberUniqueName="[Base_Vendas].[tipo_cliente].[All]" allUniqueName="[Base_Vendas].[tipo_cliente].[All]" dimensionUniqueName="[Base_Vendas]" displayFolder="" count="0" memberValueDatatype="130" unbalanced="0"/>
    <cacheHierarchy uniqueName="[Base_Vendas].[cidade]" caption="cidade" attribute="1" defaultMemberUniqueName="[Base_Vendas].[cidade].[All]" allUniqueName="[Base_Vendas].[cidade].[All]" dimensionUniqueName="[Base_Vendas]" displayFolder="" count="0" memberValueDatatype="130" unbalanced="0"/>
    <cacheHierarchy uniqueName="[Base_Vendas].[estado]" caption="estado" attribute="1" defaultMemberUniqueName="[Base_Vendas].[estado].[All]" allUniqueName="[Base_Vendas].[estado].[All]" dimensionUniqueName="[Base_Vendas]" displayFolder="" count="0" memberValueDatatype="130" unbalanced="0"/>
    <cacheHierarchy uniqueName="[Base_Vendas].[id_produto]" caption="id_produto" attribute="1" defaultMemberUniqueName="[Base_Vendas].[id_produto].[All]" allUniqueName="[Base_Vendas].[id_produto].[All]" dimensionUniqueName="[Base_Vendas]" displayFolder="" count="0" memberValueDatatype="20" unbalanced="0"/>
    <cacheHierarchy uniqueName="[Base_Vendas].[nome_produto]" caption="nome_produto" attribute="1" defaultMemberUniqueName="[Base_Vendas].[nome_produto].[All]" allUniqueName="[Base_Vendas].[nome_produto].[All]" dimensionUniqueName="[Base_Vendas]" displayFolder="" count="0" memberValueDatatype="130" unbalanced="0"/>
    <cacheHierarchy uniqueName="[Base_Vendas].[categoria_produto]" caption="categoria_produto" attribute="1" defaultMemberUniqueName="[Base_Vendas].[categoria_produto].[All]" allUniqueName="[Base_Vendas].[categoria_produto].[All]" dimensionUniqueName="[Base_Vendas]" displayFolder="" count="2" memberValueDatatype="130" unbalanced="0">
      <fieldsUsage count="2">
        <fieldUsage x="-1"/>
        <fieldUsage x="5"/>
      </fieldsUsage>
    </cacheHierarchy>
    <cacheHierarchy uniqueName="[Base_Vendas].[quantidade]" caption="quantidade" attribute="1" defaultMemberUniqueName="[Base_Vendas].[quantidade].[All]" allUniqueName="[Base_Vendas].[quantidade].[All]" dimensionUniqueName="[Base_Vendas]" displayFolder="" count="0" memberValueDatatype="20" unbalanced="0"/>
    <cacheHierarchy uniqueName="[Base_Vendas].[preco_unitario]" caption="preco_unitario" attribute="1" defaultMemberUniqueName="[Base_Vendas].[preco_unitario].[All]" allUniqueName="[Base_Vendas].[preco_unitario].[All]" dimensionUniqueName="[Base_Vendas]" displayFolder="" count="0" memberValueDatatype="20" unbalanced="0"/>
    <cacheHierarchy uniqueName="[Base_Vendas].[valor_item]" caption="valor_item" attribute="1" defaultMemberUniqueName="[Base_Vendas].[valor_item].[All]" allUniqueName="[Base_Vendas].[valor_item].[All]" dimensionUniqueName="[Base_Vendas]" displayFolder="" count="0" memberValueDatatype="20" unbalanced="0"/>
    <cacheHierarchy uniqueName="[Base_Vendas].[valor_frete]" caption="valor_frete" attribute="1" defaultMemberUniqueName="[Base_Vendas].[valor_frete].[All]" allUniqueName="[Base_Vendas].[valor_frete].[All]" dimensionUniqueName="[Base_Vendas]" displayFolder="" count="0" memberValueDatatype="20" unbalanced="0"/>
    <cacheHierarchy uniqueName="[Base_Vendas].[status_pedido]" caption="status_pedido" attribute="1" defaultMemberUniqueName="[Base_Vendas].[status_pedido].[All]" allUniqueName="[Base_Vendas].[status_pedido].[All]" dimensionUniqueName="[Base_Vendas]" displayFolder="" count="2" memberValueDatatype="130" unbalanced="0">
      <fieldsUsage count="2">
        <fieldUsage x="-1"/>
        <fieldUsage x="3"/>
      </fieldsUsage>
    </cacheHierarchy>
    <cacheHierarchy uniqueName="[Base_Vendas].[forma_pagamento]" caption="forma_pagamento" attribute="1" defaultMemberUniqueName="[Base_Vendas].[forma_pagamento].[All]" allUniqueName="[Base_Vendas].[forma_pagamento].[All]" dimensionUniqueName="[Base_Vendas]" displayFolder="" count="2" memberValueDatatype="130" unbalanced="0"/>
    <cacheHierarchy uniqueName="[Base_Vendas].[status_entrega]" caption="status_entrega" attribute="1" defaultMemberUniqueName="[Base_Vendas].[status_entrega].[All]" allUniqueName="[Base_Vendas].[status_entrega].[All]" dimensionUniqueName="[Base_Vendas]" displayFolder="" count="2" memberValueDatatype="130" unbalanced="0">
      <fieldsUsage count="2">
        <fieldUsage x="-1"/>
        <fieldUsage x="4"/>
      </fieldsUsage>
    </cacheHierarchy>
    <cacheHierarchy uniqueName="[Base_Vendas].[data_envio]" caption="data_envio" attribute="1" defaultMemberUniqueName="[Base_Vendas].[data_envio].[All]" allUniqueName="[Base_Vendas].[data_envio].[All]" dimensionUniqueName="[Base_Vendas]" displayFolder="" count="0" memberValueDatatype="130" unbalanced="0"/>
    <cacheHierarchy uniqueName="[Base_Vendas].[data_entrega]" caption="data_entrega" attribute="1" defaultMemberUniqueName="[Base_Vendas].[data_entrega].[All]" allUniqueName="[Base_Vendas].[data_entrega].[All]" dimensionUniqueName="[Base_Vendas]" displayFolder="" count="0" memberValueDatatype="130" unbalanced="0"/>
    <cacheHierarchy uniqueName="[Base_Vendas].[codigo_rastreio]" caption="codigo_rastreio" attribute="1" defaultMemberUniqueName="[Base_Vendas].[codigo_rastreio].[All]" allUniqueName="[Base_Vendas].[codigo_rastreio].[All]" dimensionUniqueName="[Base_Vendas]" displayFolder="" count="0" memberValueDatatype="130" unbalanced="0"/>
    <cacheHierarchy uniqueName="[Measures].[Contagem de id_pedido]" caption="Contagem de id_pedido" measure="1" displayFolder="" measureGroup="Base_Venda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istinta de id_pedido]" caption="Contagem Distinta de id_pedido" measure="1" displayFolder="" measureGroup="Base_Venda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oma de valor_item]" caption="Soma de valor_item" measure="1" displayFolder="" measureGroup="Base_Venda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mes_pedido]" caption="Soma de mes_pedido" measure="1" displayFolder="" measureGroup="Base_Venda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Faturamento_Total]" caption="Faturamento_Total" measure="1" displayFolder="" measureGroup="Base_Vendas" count="0" oneField="1">
      <fieldsUsage count="1">
        <fieldUsage x="0"/>
      </fieldsUsage>
    </cacheHierarchy>
    <cacheHierarchy uniqueName="[Measures].[Qnt_Pedidos]" caption="Qnt_Pedidos" measure="1" displayFolder="" measureGroup="Base_Vendas" count="0"/>
    <cacheHierarchy uniqueName="[Measures].[Ticket_Medio]" caption="Ticket_Medio" measure="1" displayFolder="" measureGroup="Base_Vendas" count="0"/>
    <cacheHierarchy uniqueName="[Measures].[Qnt_Itens]" caption="Qnt_Itens" measure="1" displayFolder="" measureGroup="Base_Vendas" count="0"/>
    <cacheHierarchy uniqueName="[Measures].[Clientes_Ativos]" caption="Clientes_Ativos" measure="1" displayFolder="" measureGroup="Base_Vendas" count="0"/>
    <cacheHierarchy uniqueName="[Measures].[__XL_Count Base_Vendas]" caption="__XL_Count Base_Vendas" measure="1" displayFolder="" measureGroup="Base_Vendas" count="0" hidden="1"/>
    <cacheHierarchy uniqueName="[Measures].[__No measures defined]" caption="__No measures defined" measure="1" displayFolder="" count="0" hidden="1"/>
  </cacheHierarchies>
  <kpis count="0"/>
  <dimensions count="2">
    <dimension name="Base_Vendas" uniqueName="[Base_Vendas]" caption="Base_Vendas"/>
    <dimension measure="1" name="Measures" uniqueName="[Measures]" caption="Measures"/>
  </dimensions>
  <measureGroups count="1">
    <measureGroup name="Base_Vendas" caption="Base_Venda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ri" refreshedDate="45984.826139236109" backgroundQuery="1" createdVersion="8" refreshedVersion="8" minRefreshableVersion="3" recordCount="0" supportSubquery="1" supportAdvancedDrill="1" xr:uid="{DFEA1E36-B189-4B11-B0CB-F0A796F0DC15}">
  <cacheSource type="external" connectionId="1"/>
  <cacheFields count="5">
    <cacheField name="[Base_Vendas].[mes_pedido].[mes_pedido]" caption="mes_pedido" numFmtId="0" hierarchy="3" level="1">
      <sharedItems containsSemiMixedTypes="0" containsString="0" containsNumber="1" containsInteger="1" minValue="9" maxValue="10" count="2">
        <n v="9"/>
        <n v="10"/>
      </sharedItems>
      <extLst>
        <ext xmlns:x15="http://schemas.microsoft.com/office/spreadsheetml/2010/11/main" uri="{4F2E5C28-24EA-4eb8-9CBF-B6C8F9C3D259}">
          <x15:cachedUniqueNames>
            <x15:cachedUniqueName index="0" name="[Base_Vendas].[mes_pedido].&amp;[9]"/>
            <x15:cachedUniqueName index="1" name="[Base_Vendas].[mes_pedido].&amp;[10]"/>
          </x15:cachedUniqueNames>
        </ext>
      </extLst>
    </cacheField>
    <cacheField name="[Measures].[Faturamento_Total]" caption="Faturamento_Total" numFmtId="0" hierarchy="26" level="32767"/>
    <cacheField name="[Base_Vendas].[status_pedido].[status_pedido]" caption="status_pedido" numFmtId="0" hierarchy="16" level="1">
      <sharedItems containsSemiMixedTypes="0" containsNonDate="0" containsString="0"/>
    </cacheField>
    <cacheField name="[Base_Vendas].[status_entrega].[status_entrega]" caption="status_entrega" numFmtId="0" hierarchy="18" level="1">
      <sharedItems containsSemiMixedTypes="0" containsNonDate="0" containsString="0"/>
    </cacheField>
    <cacheField name="[Base_Vendas].[categoria_produto].[categoria_produto]" caption="categoria_produto" numFmtId="0" hierarchy="11" level="1">
      <sharedItems containsSemiMixedTypes="0" containsNonDate="0" containsString="0"/>
    </cacheField>
  </cacheFields>
  <cacheHierarchies count="33">
    <cacheHierarchy uniqueName="[Base_Vendas].[id_pedido]" caption="id_pedido" attribute="1" defaultMemberUniqueName="[Base_Vendas].[id_pedido].[All]" allUniqueName="[Base_Vendas].[id_pedido].[All]" dimensionUniqueName="[Base_Vendas]" displayFolder="" count="0" memberValueDatatype="130" unbalanced="0"/>
    <cacheHierarchy uniqueName="[Base_Vendas].[data_pedido]" caption="data_pedido" attribute="1" defaultMemberUniqueName="[Base_Vendas].[data_pedido].[All]" allUniqueName="[Base_Vendas].[data_pedido].[All]" dimensionUniqueName="[Base_Vendas]" displayFolder="" count="0" memberValueDatatype="130" unbalanced="0"/>
    <cacheHierarchy uniqueName="[Base_Vendas].[ano_pedido]" caption="ano_pedido" attribute="1" defaultMemberUniqueName="[Base_Vendas].[ano_pedido].[All]" allUniqueName="[Base_Vendas].[ano_pedido].[All]" dimensionUniqueName="[Base_Vendas]" displayFolder="" count="2" memberValueDatatype="20" unbalanced="0"/>
    <cacheHierarchy uniqueName="[Base_Vendas].[mes_pedido]" caption="mes_pedido" attribute="1" defaultMemberUniqueName="[Base_Vendas].[mes_pedido].[All]" allUniqueName="[Base_Vendas].[mes_pedido].[All]" dimensionUniqueName="[Base_Vendas]" displayFolder="" count="2" memberValueDatatype="20" unbalanced="0">
      <fieldsUsage count="2">
        <fieldUsage x="-1"/>
        <fieldUsage x="0"/>
      </fieldsUsage>
    </cacheHierarchy>
    <cacheHierarchy uniqueName="[Base_Vendas].[id_cliente]" caption="id_cliente" attribute="1" defaultMemberUniqueName="[Base_Vendas].[id_cliente].[All]" allUniqueName="[Base_Vendas].[id_cliente].[All]" dimensionUniqueName="[Base_Vendas]" displayFolder="" count="0" memberValueDatatype="20" unbalanced="0"/>
    <cacheHierarchy uniqueName="[Base_Vendas].[nome_cliente]" caption="nome_cliente" attribute="1" defaultMemberUniqueName="[Base_Vendas].[nome_cliente].[All]" allUniqueName="[Base_Vendas].[nome_cliente].[All]" dimensionUniqueName="[Base_Vendas]" displayFolder="" count="0" memberValueDatatype="130" unbalanced="0"/>
    <cacheHierarchy uniqueName="[Base_Vendas].[tipo_cliente]" caption="tipo_cliente" attribute="1" defaultMemberUniqueName="[Base_Vendas].[tipo_cliente].[All]" allUniqueName="[Base_Vendas].[tipo_cliente].[All]" dimensionUniqueName="[Base_Vendas]" displayFolder="" count="0" memberValueDatatype="130" unbalanced="0"/>
    <cacheHierarchy uniqueName="[Base_Vendas].[cidade]" caption="cidade" attribute="1" defaultMemberUniqueName="[Base_Vendas].[cidade].[All]" allUniqueName="[Base_Vendas].[cidade].[All]" dimensionUniqueName="[Base_Vendas]" displayFolder="" count="0" memberValueDatatype="130" unbalanced="0"/>
    <cacheHierarchy uniqueName="[Base_Vendas].[estado]" caption="estado" attribute="1" defaultMemberUniqueName="[Base_Vendas].[estado].[All]" allUniqueName="[Base_Vendas].[estado].[All]" dimensionUniqueName="[Base_Vendas]" displayFolder="" count="0" memberValueDatatype="130" unbalanced="0"/>
    <cacheHierarchy uniqueName="[Base_Vendas].[id_produto]" caption="id_produto" attribute="1" defaultMemberUniqueName="[Base_Vendas].[id_produto].[All]" allUniqueName="[Base_Vendas].[id_produto].[All]" dimensionUniqueName="[Base_Vendas]" displayFolder="" count="0" memberValueDatatype="20" unbalanced="0"/>
    <cacheHierarchy uniqueName="[Base_Vendas].[nome_produto]" caption="nome_produto" attribute="1" defaultMemberUniqueName="[Base_Vendas].[nome_produto].[All]" allUniqueName="[Base_Vendas].[nome_produto].[All]" dimensionUniqueName="[Base_Vendas]" displayFolder="" count="0" memberValueDatatype="130" unbalanced="0"/>
    <cacheHierarchy uniqueName="[Base_Vendas].[categoria_produto]" caption="categoria_produto" attribute="1" defaultMemberUniqueName="[Base_Vendas].[categoria_produto].[All]" allUniqueName="[Base_Vendas].[categoria_produto].[All]" dimensionUniqueName="[Base_Vendas]" displayFolder="" count="2" memberValueDatatype="130" unbalanced="0">
      <fieldsUsage count="2">
        <fieldUsage x="-1"/>
        <fieldUsage x="4"/>
      </fieldsUsage>
    </cacheHierarchy>
    <cacheHierarchy uniqueName="[Base_Vendas].[quantidade]" caption="quantidade" attribute="1" defaultMemberUniqueName="[Base_Vendas].[quantidade].[All]" allUniqueName="[Base_Vendas].[quantidade].[All]" dimensionUniqueName="[Base_Vendas]" displayFolder="" count="0" memberValueDatatype="20" unbalanced="0"/>
    <cacheHierarchy uniqueName="[Base_Vendas].[preco_unitario]" caption="preco_unitario" attribute="1" defaultMemberUniqueName="[Base_Vendas].[preco_unitario].[All]" allUniqueName="[Base_Vendas].[preco_unitario].[All]" dimensionUniqueName="[Base_Vendas]" displayFolder="" count="0" memberValueDatatype="20" unbalanced="0"/>
    <cacheHierarchy uniqueName="[Base_Vendas].[valor_item]" caption="valor_item" attribute="1" defaultMemberUniqueName="[Base_Vendas].[valor_item].[All]" allUniqueName="[Base_Vendas].[valor_item].[All]" dimensionUniqueName="[Base_Vendas]" displayFolder="" count="0" memberValueDatatype="20" unbalanced="0"/>
    <cacheHierarchy uniqueName="[Base_Vendas].[valor_frete]" caption="valor_frete" attribute="1" defaultMemberUniqueName="[Base_Vendas].[valor_frete].[All]" allUniqueName="[Base_Vendas].[valor_frete].[All]" dimensionUniqueName="[Base_Vendas]" displayFolder="" count="0" memberValueDatatype="20" unbalanced="0"/>
    <cacheHierarchy uniqueName="[Base_Vendas].[status_pedido]" caption="status_pedido" attribute="1" defaultMemberUniqueName="[Base_Vendas].[status_pedido].[All]" allUniqueName="[Base_Vendas].[status_pedido].[All]" dimensionUniqueName="[Base_Vendas]" displayFolder="" count="2" memberValueDatatype="130" unbalanced="0">
      <fieldsUsage count="2">
        <fieldUsage x="-1"/>
        <fieldUsage x="2"/>
      </fieldsUsage>
    </cacheHierarchy>
    <cacheHierarchy uniqueName="[Base_Vendas].[forma_pagamento]" caption="forma_pagamento" attribute="1" defaultMemberUniqueName="[Base_Vendas].[forma_pagamento].[All]" allUniqueName="[Base_Vendas].[forma_pagamento].[All]" dimensionUniqueName="[Base_Vendas]" displayFolder="" count="2" memberValueDatatype="130" unbalanced="0"/>
    <cacheHierarchy uniqueName="[Base_Vendas].[status_entrega]" caption="status_entrega" attribute="1" defaultMemberUniqueName="[Base_Vendas].[status_entrega].[All]" allUniqueName="[Base_Vendas].[status_entrega].[All]" dimensionUniqueName="[Base_Vendas]" displayFolder="" count="2" memberValueDatatype="130" unbalanced="0">
      <fieldsUsage count="2">
        <fieldUsage x="-1"/>
        <fieldUsage x="3"/>
      </fieldsUsage>
    </cacheHierarchy>
    <cacheHierarchy uniqueName="[Base_Vendas].[data_envio]" caption="data_envio" attribute="1" defaultMemberUniqueName="[Base_Vendas].[data_envio].[All]" allUniqueName="[Base_Vendas].[data_envio].[All]" dimensionUniqueName="[Base_Vendas]" displayFolder="" count="0" memberValueDatatype="130" unbalanced="0"/>
    <cacheHierarchy uniqueName="[Base_Vendas].[data_entrega]" caption="data_entrega" attribute="1" defaultMemberUniqueName="[Base_Vendas].[data_entrega].[All]" allUniqueName="[Base_Vendas].[data_entrega].[All]" dimensionUniqueName="[Base_Vendas]" displayFolder="" count="0" memberValueDatatype="130" unbalanced="0"/>
    <cacheHierarchy uniqueName="[Base_Vendas].[codigo_rastreio]" caption="codigo_rastreio" attribute="1" defaultMemberUniqueName="[Base_Vendas].[codigo_rastreio].[All]" allUniqueName="[Base_Vendas].[codigo_rastreio].[All]" dimensionUniqueName="[Base_Vendas]" displayFolder="" count="0" memberValueDatatype="130" unbalanced="0"/>
    <cacheHierarchy uniqueName="[Measures].[Contagem de id_pedido]" caption="Contagem de id_pedido" measure="1" displayFolder="" measureGroup="Base_Venda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istinta de id_pedido]" caption="Contagem Distinta de id_pedido" measure="1" displayFolder="" measureGroup="Base_Venda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oma de valor_item]" caption="Soma de valor_item" measure="1" displayFolder="" measureGroup="Base_Venda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mes_pedido]" caption="Soma de mes_pedido" measure="1" displayFolder="" measureGroup="Base_Venda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Faturamento_Total]" caption="Faturamento_Total" measure="1" displayFolder="" measureGroup="Base_Vendas" count="0" oneField="1">
      <fieldsUsage count="1">
        <fieldUsage x="1"/>
      </fieldsUsage>
    </cacheHierarchy>
    <cacheHierarchy uniqueName="[Measures].[Qnt_Pedidos]" caption="Qnt_Pedidos" measure="1" displayFolder="" measureGroup="Base_Vendas" count="0"/>
    <cacheHierarchy uniqueName="[Measures].[Ticket_Medio]" caption="Ticket_Medio" measure="1" displayFolder="" measureGroup="Base_Vendas" count="0"/>
    <cacheHierarchy uniqueName="[Measures].[Qnt_Itens]" caption="Qnt_Itens" measure="1" displayFolder="" measureGroup="Base_Vendas" count="0"/>
    <cacheHierarchy uniqueName="[Measures].[Clientes_Ativos]" caption="Clientes_Ativos" measure="1" displayFolder="" measureGroup="Base_Vendas" count="0"/>
    <cacheHierarchy uniqueName="[Measures].[__XL_Count Base_Vendas]" caption="__XL_Count Base_Vendas" measure="1" displayFolder="" measureGroup="Base_Vendas" count="0" hidden="1"/>
    <cacheHierarchy uniqueName="[Measures].[__No measures defined]" caption="__No measures defined" measure="1" displayFolder="" count="0" hidden="1"/>
  </cacheHierarchies>
  <kpis count="0"/>
  <dimensions count="2">
    <dimension name="Base_Vendas" uniqueName="[Base_Vendas]" caption="Base_Vendas"/>
    <dimension measure="1" name="Measures" uniqueName="[Measures]" caption="Measures"/>
  </dimensions>
  <measureGroups count="1">
    <measureGroup name="Base_Vendas" caption="Base_Venda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ri" refreshedDate="45984.82614016204" backgroundQuery="1" createdVersion="8" refreshedVersion="8" minRefreshableVersion="3" recordCount="0" supportSubquery="1" supportAdvancedDrill="1" xr:uid="{DDF07E8A-5263-444A-B496-2AA5A3022709}">
  <cacheSource type="external" connectionId="1"/>
  <cacheFields count="7">
    <cacheField name="[Base_Vendas].[nome_cliente].[nome_cliente]" caption="nome_cliente" numFmtId="0" hierarchy="5" level="1">
      <sharedItems count="5">
        <s v=" Carlos Almeida"/>
        <s v=" Clínica Vida Plena LTDA"/>
        <s v=" Eduardo Nascimento"/>
        <s v=" Fernanda Souza"/>
        <s v=" Guilherme Tavares"/>
      </sharedItems>
    </cacheField>
    <cacheField name="[Measures].[Soma de valor_item]" caption="Soma de valor_item" numFmtId="0" hierarchy="24" level="32767"/>
    <cacheField name="[Base_Vendas].[ano_pedido].[ano_pedido]" caption="ano_pedido" numFmtId="0" hierarchy="2" level="1">
      <sharedItems containsSemiMixedTypes="0" containsNonDate="0" containsString="0"/>
    </cacheField>
    <cacheField name="[Base_Vendas].[mes_pedido].[mes_pedido]" caption="mes_pedido" numFmtId="0" hierarchy="3" level="1">
      <sharedItems containsSemiMixedTypes="0" containsNonDate="0" containsString="0"/>
    </cacheField>
    <cacheField name="[Base_Vendas].[estado].[estado]" caption="estado" numFmtId="0" hierarchy="8" level="1">
      <sharedItems containsSemiMixedTypes="0" containsNonDate="0" containsString="0"/>
    </cacheField>
    <cacheField name="[Base_Vendas].[status_pedido].[status_pedido]" caption="status_pedido" numFmtId="0" hierarchy="16" level="1">
      <sharedItems containsSemiMixedTypes="0" containsNonDate="0" containsString="0"/>
    </cacheField>
    <cacheField name="[Base_Vendas].[categoria_produto].[categoria_produto]" caption="categoria_produto" numFmtId="0" hierarchy="11" level="1">
      <sharedItems containsSemiMixedTypes="0" containsNonDate="0" containsString="0"/>
    </cacheField>
  </cacheFields>
  <cacheHierarchies count="33">
    <cacheHierarchy uniqueName="[Base_Vendas].[id_pedido]" caption="id_pedido" attribute="1" defaultMemberUniqueName="[Base_Vendas].[id_pedido].[All]" allUniqueName="[Base_Vendas].[id_pedido].[All]" dimensionUniqueName="[Base_Vendas]" displayFolder="" count="0" memberValueDatatype="130" unbalanced="0"/>
    <cacheHierarchy uniqueName="[Base_Vendas].[data_pedido]" caption="data_pedido" attribute="1" defaultMemberUniqueName="[Base_Vendas].[data_pedido].[All]" allUniqueName="[Base_Vendas].[data_pedido].[All]" dimensionUniqueName="[Base_Vendas]" displayFolder="" count="0" memberValueDatatype="130" unbalanced="0"/>
    <cacheHierarchy uniqueName="[Base_Vendas].[ano_pedido]" caption="ano_pedido" attribute="1" defaultMemberUniqueName="[Base_Vendas].[ano_pedido].[All]" allUniqueName="[Base_Vendas].[ano_pedido].[All]" dimensionUniqueName="[Base_Vendas]" displayFolder="" count="2" memberValueDatatype="20" unbalanced="0">
      <fieldsUsage count="2">
        <fieldUsage x="-1"/>
        <fieldUsage x="2"/>
      </fieldsUsage>
    </cacheHierarchy>
    <cacheHierarchy uniqueName="[Base_Vendas].[mes_pedido]" caption="mes_pedido" attribute="1" defaultMemberUniqueName="[Base_Vendas].[mes_pedido].[All]" allUniqueName="[Base_Vendas].[mes_pedido].[All]" dimensionUniqueName="[Base_Vendas]" displayFolder="" count="2" memberValueDatatype="20" unbalanced="0">
      <fieldsUsage count="2">
        <fieldUsage x="-1"/>
        <fieldUsage x="3"/>
      </fieldsUsage>
    </cacheHierarchy>
    <cacheHierarchy uniqueName="[Base_Vendas].[id_cliente]" caption="id_cliente" attribute="1" defaultMemberUniqueName="[Base_Vendas].[id_cliente].[All]" allUniqueName="[Base_Vendas].[id_cliente].[All]" dimensionUniqueName="[Base_Vendas]" displayFolder="" count="0" memberValueDatatype="20" unbalanced="0"/>
    <cacheHierarchy uniqueName="[Base_Vendas].[nome_cliente]" caption="nome_cliente" attribute="1" defaultMemberUniqueName="[Base_Vendas].[nome_cliente].[All]" allUniqueName="[Base_Vendas].[nome_cliente].[All]" dimensionUniqueName="[Base_Vendas]" displayFolder="" count="2" memberValueDatatype="130" unbalanced="0">
      <fieldsUsage count="2">
        <fieldUsage x="-1"/>
        <fieldUsage x="0"/>
      </fieldsUsage>
    </cacheHierarchy>
    <cacheHierarchy uniqueName="[Base_Vendas].[tipo_cliente]" caption="tipo_cliente" attribute="1" defaultMemberUniqueName="[Base_Vendas].[tipo_cliente].[All]" allUniqueName="[Base_Vendas].[tipo_cliente].[All]" dimensionUniqueName="[Base_Vendas]" displayFolder="" count="0" memberValueDatatype="130" unbalanced="0"/>
    <cacheHierarchy uniqueName="[Base_Vendas].[cidade]" caption="cidade" attribute="1" defaultMemberUniqueName="[Base_Vendas].[cidade].[All]" allUniqueName="[Base_Vendas].[cidade].[All]" dimensionUniqueName="[Base_Vendas]" displayFolder="" count="0" memberValueDatatype="130" unbalanced="0"/>
    <cacheHierarchy uniqueName="[Base_Vendas].[estado]" caption="estado" attribute="1" defaultMemberUniqueName="[Base_Vendas].[estado].[All]" allUniqueName="[Base_Vendas].[estado].[All]" dimensionUniqueName="[Base_Vendas]" displayFolder="" count="2" memberValueDatatype="130" unbalanced="0">
      <fieldsUsage count="2">
        <fieldUsage x="-1"/>
        <fieldUsage x="4"/>
      </fieldsUsage>
    </cacheHierarchy>
    <cacheHierarchy uniqueName="[Base_Vendas].[id_produto]" caption="id_produto" attribute="1" defaultMemberUniqueName="[Base_Vendas].[id_produto].[All]" allUniqueName="[Base_Vendas].[id_produto].[All]" dimensionUniqueName="[Base_Vendas]" displayFolder="" count="0" memberValueDatatype="20" unbalanced="0"/>
    <cacheHierarchy uniqueName="[Base_Vendas].[nome_produto]" caption="nome_produto" attribute="1" defaultMemberUniqueName="[Base_Vendas].[nome_produto].[All]" allUniqueName="[Base_Vendas].[nome_produto].[All]" dimensionUniqueName="[Base_Vendas]" displayFolder="" count="0" memberValueDatatype="130" unbalanced="0"/>
    <cacheHierarchy uniqueName="[Base_Vendas].[categoria_produto]" caption="categoria_produto" attribute="1" defaultMemberUniqueName="[Base_Vendas].[categoria_produto].[All]" allUniqueName="[Base_Vendas].[categoria_produto].[All]" dimensionUniqueName="[Base_Vendas]" displayFolder="" count="2" memberValueDatatype="130" unbalanced="0">
      <fieldsUsage count="2">
        <fieldUsage x="-1"/>
        <fieldUsage x="6"/>
      </fieldsUsage>
    </cacheHierarchy>
    <cacheHierarchy uniqueName="[Base_Vendas].[quantidade]" caption="quantidade" attribute="1" defaultMemberUniqueName="[Base_Vendas].[quantidade].[All]" allUniqueName="[Base_Vendas].[quantidade].[All]" dimensionUniqueName="[Base_Vendas]" displayFolder="" count="0" memberValueDatatype="20" unbalanced="0"/>
    <cacheHierarchy uniqueName="[Base_Vendas].[preco_unitario]" caption="preco_unitario" attribute="1" defaultMemberUniqueName="[Base_Vendas].[preco_unitario].[All]" allUniqueName="[Base_Vendas].[preco_unitario].[All]" dimensionUniqueName="[Base_Vendas]" displayFolder="" count="0" memberValueDatatype="20" unbalanced="0"/>
    <cacheHierarchy uniqueName="[Base_Vendas].[valor_item]" caption="valor_item" attribute="1" defaultMemberUniqueName="[Base_Vendas].[valor_item].[All]" allUniqueName="[Base_Vendas].[valor_item].[All]" dimensionUniqueName="[Base_Vendas]" displayFolder="" count="0" memberValueDatatype="20" unbalanced="0"/>
    <cacheHierarchy uniqueName="[Base_Vendas].[valor_frete]" caption="valor_frete" attribute="1" defaultMemberUniqueName="[Base_Vendas].[valor_frete].[All]" allUniqueName="[Base_Vendas].[valor_frete].[All]" dimensionUniqueName="[Base_Vendas]" displayFolder="" count="0" memberValueDatatype="20" unbalanced="0"/>
    <cacheHierarchy uniqueName="[Base_Vendas].[status_pedido]" caption="status_pedido" attribute="1" defaultMemberUniqueName="[Base_Vendas].[status_pedido].[All]" allUniqueName="[Base_Vendas].[status_pedido].[All]" dimensionUniqueName="[Base_Vendas]" displayFolder="" count="2" memberValueDatatype="130" unbalanced="0">
      <fieldsUsage count="2">
        <fieldUsage x="-1"/>
        <fieldUsage x="5"/>
      </fieldsUsage>
    </cacheHierarchy>
    <cacheHierarchy uniqueName="[Base_Vendas].[forma_pagamento]" caption="forma_pagamento" attribute="1" defaultMemberUniqueName="[Base_Vendas].[forma_pagamento].[All]" allUniqueName="[Base_Vendas].[forma_pagamento].[All]" dimensionUniqueName="[Base_Vendas]" displayFolder="" count="2" memberValueDatatype="130" unbalanced="0"/>
    <cacheHierarchy uniqueName="[Base_Vendas].[status_entrega]" caption="status_entrega" attribute="1" defaultMemberUniqueName="[Base_Vendas].[status_entrega].[All]" allUniqueName="[Base_Vendas].[status_entrega].[All]" dimensionUniqueName="[Base_Vendas]" displayFolder="" count="0" memberValueDatatype="130" unbalanced="0"/>
    <cacheHierarchy uniqueName="[Base_Vendas].[data_envio]" caption="data_envio" attribute="1" defaultMemberUniqueName="[Base_Vendas].[data_envio].[All]" allUniqueName="[Base_Vendas].[data_envio].[All]" dimensionUniqueName="[Base_Vendas]" displayFolder="" count="0" memberValueDatatype="130" unbalanced="0"/>
    <cacheHierarchy uniqueName="[Base_Vendas].[data_entrega]" caption="data_entrega" attribute="1" defaultMemberUniqueName="[Base_Vendas].[data_entrega].[All]" allUniqueName="[Base_Vendas].[data_entrega].[All]" dimensionUniqueName="[Base_Vendas]" displayFolder="" count="0" memberValueDatatype="130" unbalanced="0"/>
    <cacheHierarchy uniqueName="[Base_Vendas].[codigo_rastreio]" caption="codigo_rastreio" attribute="1" defaultMemberUniqueName="[Base_Vendas].[codigo_rastreio].[All]" allUniqueName="[Base_Vendas].[codigo_rastreio].[All]" dimensionUniqueName="[Base_Vendas]" displayFolder="" count="0" memberValueDatatype="130" unbalanced="0"/>
    <cacheHierarchy uniqueName="[Measures].[Contagem de id_pedido]" caption="Contagem de id_pedido" measure="1" displayFolder="" measureGroup="Base_Venda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istinta de id_pedido]" caption="Contagem Distinta de id_pedido" measure="1" displayFolder="" measureGroup="Base_Venda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oma de valor_item]" caption="Soma de valor_item" measure="1" displayFolder="" measureGroup="Base_Venda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mes_pedido]" caption="Soma de mes_pedido" measure="1" displayFolder="" measureGroup="Base_Venda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Faturamento_Total]" caption="Faturamento_Total" measure="1" displayFolder="" measureGroup="Base_Vendas" count="0"/>
    <cacheHierarchy uniqueName="[Measures].[Qnt_Pedidos]" caption="Qnt_Pedidos" measure="1" displayFolder="" measureGroup="Base_Vendas" count="0"/>
    <cacheHierarchy uniqueName="[Measures].[Ticket_Medio]" caption="Ticket_Medio" measure="1" displayFolder="" measureGroup="Base_Vendas" count="0"/>
    <cacheHierarchy uniqueName="[Measures].[Qnt_Itens]" caption="Qnt_Itens" measure="1" displayFolder="" measureGroup="Base_Vendas" count="0"/>
    <cacheHierarchy uniqueName="[Measures].[Clientes_Ativos]" caption="Clientes_Ativos" measure="1" displayFolder="" measureGroup="Base_Vendas" count="0"/>
    <cacheHierarchy uniqueName="[Measures].[__XL_Count Base_Vendas]" caption="__XL_Count Base_Vendas" measure="1" displayFolder="" measureGroup="Base_Vendas" count="0" hidden="1"/>
    <cacheHierarchy uniqueName="[Measures].[__No measures defined]" caption="__No measures defined" measure="1" displayFolder="" count="0" hidden="1"/>
  </cacheHierarchies>
  <kpis count="0"/>
  <dimensions count="2">
    <dimension name="Base_Vendas" uniqueName="[Base_Vendas]" caption="Base_Vendas"/>
    <dimension measure="1" name="Measures" uniqueName="[Measures]" caption="Measures"/>
  </dimensions>
  <measureGroups count="1">
    <measureGroup name="Base_Vendas" caption="Base_Venda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ri" refreshedDate="45984.826140740741" backgroundQuery="1" createdVersion="8" refreshedVersion="8" minRefreshableVersion="3" recordCount="0" supportSubquery="1" supportAdvancedDrill="1" xr:uid="{18956807-51CC-4DEA-BDAD-CDAC60F517A7}">
  <cacheSource type="external" connectionId="1"/>
  <cacheFields count="6">
    <cacheField name="[Base_Vendas].[nome_produto].[nome_produto]" caption="nome_produto" numFmtId="0" hierarchy="10" level="1">
      <sharedItems count="10">
        <s v=" Cadeira Gamer ThunderX3"/>
        <s v=" HD Externo Seagate 2TB"/>
        <s v=" Monitor Dell Ultrasharp 32\&quot;"/>
        <s v=" Monitor LG 27\&quot;"/>
        <s v=" Notebook Dell Inspiron"/>
        <s v=" Projetor Epson X10"/>
        <s v=" Roteador TP-Link AX3000"/>
        <s v=" Smartphone Samsung S23"/>
        <s v=" SSD Kingston 1TB"/>
        <s v=" Tablet Lenovo M10"/>
      </sharedItems>
    </cacheField>
    <cacheField name="[Measures].[Faturamento_Total]" caption="Faturamento_Total" numFmtId="0" hierarchy="26" level="32767"/>
    <cacheField name="[Base_Vendas].[ano_pedido].[ano_pedido]" caption="ano_pedido" numFmtId="0" hierarchy="2" level="1">
      <sharedItems containsSemiMixedTypes="0" containsNonDate="0" containsString="0"/>
    </cacheField>
    <cacheField name="[Base_Vendas].[mes_pedido].[mes_pedido]" caption="mes_pedido" numFmtId="0" hierarchy="3" level="1">
      <sharedItems containsSemiMixedTypes="0" containsNonDate="0" containsString="0"/>
    </cacheField>
    <cacheField name="[Base_Vendas].[status_pedido].[status_pedido]" caption="status_pedido" numFmtId="0" hierarchy="16" level="1">
      <sharedItems containsSemiMixedTypes="0" containsNonDate="0" containsString="0"/>
    </cacheField>
    <cacheField name="[Base_Vendas].[categoria_produto].[categoria_produto]" caption="categoria_produto" numFmtId="0" hierarchy="11" level="1">
      <sharedItems containsSemiMixedTypes="0" containsNonDate="0" containsString="0"/>
    </cacheField>
  </cacheFields>
  <cacheHierarchies count="33">
    <cacheHierarchy uniqueName="[Base_Vendas].[id_pedido]" caption="id_pedido" attribute="1" defaultMemberUniqueName="[Base_Vendas].[id_pedido].[All]" allUniqueName="[Base_Vendas].[id_pedido].[All]" dimensionUniqueName="[Base_Vendas]" displayFolder="" count="0" memberValueDatatype="130" unbalanced="0"/>
    <cacheHierarchy uniqueName="[Base_Vendas].[data_pedido]" caption="data_pedido" attribute="1" defaultMemberUniqueName="[Base_Vendas].[data_pedido].[All]" allUniqueName="[Base_Vendas].[data_pedido].[All]" dimensionUniqueName="[Base_Vendas]" displayFolder="" count="0" memberValueDatatype="130" unbalanced="0"/>
    <cacheHierarchy uniqueName="[Base_Vendas].[ano_pedido]" caption="ano_pedido" attribute="1" defaultMemberUniqueName="[Base_Vendas].[ano_pedido].[All]" allUniqueName="[Base_Vendas].[ano_pedido].[All]" dimensionUniqueName="[Base_Vendas]" displayFolder="" count="2" memberValueDatatype="20" unbalanced="0">
      <fieldsUsage count="2">
        <fieldUsage x="-1"/>
        <fieldUsage x="2"/>
      </fieldsUsage>
    </cacheHierarchy>
    <cacheHierarchy uniqueName="[Base_Vendas].[mes_pedido]" caption="mes_pedido" attribute="1" defaultMemberUniqueName="[Base_Vendas].[mes_pedido].[All]" allUniqueName="[Base_Vendas].[mes_pedido].[All]" dimensionUniqueName="[Base_Vendas]" displayFolder="" count="2" memberValueDatatype="20" unbalanced="0">
      <fieldsUsage count="2">
        <fieldUsage x="-1"/>
        <fieldUsage x="3"/>
      </fieldsUsage>
    </cacheHierarchy>
    <cacheHierarchy uniqueName="[Base_Vendas].[id_cliente]" caption="id_cliente" attribute="1" defaultMemberUniqueName="[Base_Vendas].[id_cliente].[All]" allUniqueName="[Base_Vendas].[id_cliente].[All]" dimensionUniqueName="[Base_Vendas]" displayFolder="" count="0" memberValueDatatype="20" unbalanced="0"/>
    <cacheHierarchy uniqueName="[Base_Vendas].[nome_cliente]" caption="nome_cliente" attribute="1" defaultMemberUniqueName="[Base_Vendas].[nome_cliente].[All]" allUniqueName="[Base_Vendas].[nome_cliente].[All]" dimensionUniqueName="[Base_Vendas]" displayFolder="" count="0" memberValueDatatype="130" unbalanced="0"/>
    <cacheHierarchy uniqueName="[Base_Vendas].[tipo_cliente]" caption="tipo_cliente" attribute="1" defaultMemberUniqueName="[Base_Vendas].[tipo_cliente].[All]" allUniqueName="[Base_Vendas].[tipo_cliente].[All]" dimensionUniqueName="[Base_Vendas]" displayFolder="" count="0" memberValueDatatype="130" unbalanced="0"/>
    <cacheHierarchy uniqueName="[Base_Vendas].[cidade]" caption="cidade" attribute="1" defaultMemberUniqueName="[Base_Vendas].[cidade].[All]" allUniqueName="[Base_Vendas].[cidade].[All]" dimensionUniqueName="[Base_Vendas]" displayFolder="" count="0" memberValueDatatype="130" unbalanced="0"/>
    <cacheHierarchy uniqueName="[Base_Vendas].[estado]" caption="estado" attribute="1" defaultMemberUniqueName="[Base_Vendas].[estado].[All]" allUniqueName="[Base_Vendas].[estado].[All]" dimensionUniqueName="[Base_Vendas]" displayFolder="" count="0" memberValueDatatype="130" unbalanced="0"/>
    <cacheHierarchy uniqueName="[Base_Vendas].[id_produto]" caption="id_produto" attribute="1" defaultMemberUniqueName="[Base_Vendas].[id_produto].[All]" allUniqueName="[Base_Vendas].[id_produto].[All]" dimensionUniqueName="[Base_Vendas]" displayFolder="" count="0" memberValueDatatype="20" unbalanced="0"/>
    <cacheHierarchy uniqueName="[Base_Vendas].[nome_produto]" caption="nome_produto" attribute="1" defaultMemberUniqueName="[Base_Vendas].[nome_produto].[All]" allUniqueName="[Base_Vendas].[nome_produto].[All]" dimensionUniqueName="[Base_Vendas]" displayFolder="" count="2" memberValueDatatype="130" unbalanced="0">
      <fieldsUsage count="2">
        <fieldUsage x="-1"/>
        <fieldUsage x="0"/>
      </fieldsUsage>
    </cacheHierarchy>
    <cacheHierarchy uniqueName="[Base_Vendas].[categoria_produto]" caption="categoria_produto" attribute="1" defaultMemberUniqueName="[Base_Vendas].[categoria_produto].[All]" allUniqueName="[Base_Vendas].[categoria_produto].[All]" dimensionUniqueName="[Base_Vendas]" displayFolder="" count="2" memberValueDatatype="130" unbalanced="0">
      <fieldsUsage count="2">
        <fieldUsage x="-1"/>
        <fieldUsage x="5"/>
      </fieldsUsage>
    </cacheHierarchy>
    <cacheHierarchy uniqueName="[Base_Vendas].[quantidade]" caption="quantidade" attribute="1" defaultMemberUniqueName="[Base_Vendas].[quantidade].[All]" allUniqueName="[Base_Vendas].[quantidade].[All]" dimensionUniqueName="[Base_Vendas]" displayFolder="" count="0" memberValueDatatype="20" unbalanced="0"/>
    <cacheHierarchy uniqueName="[Base_Vendas].[preco_unitario]" caption="preco_unitario" attribute="1" defaultMemberUniqueName="[Base_Vendas].[preco_unitario].[All]" allUniqueName="[Base_Vendas].[preco_unitario].[All]" dimensionUniqueName="[Base_Vendas]" displayFolder="" count="0" memberValueDatatype="20" unbalanced="0"/>
    <cacheHierarchy uniqueName="[Base_Vendas].[valor_item]" caption="valor_item" attribute="1" defaultMemberUniqueName="[Base_Vendas].[valor_item].[All]" allUniqueName="[Base_Vendas].[valor_item].[All]" dimensionUniqueName="[Base_Vendas]" displayFolder="" count="0" memberValueDatatype="20" unbalanced="0"/>
    <cacheHierarchy uniqueName="[Base_Vendas].[valor_frete]" caption="valor_frete" attribute="1" defaultMemberUniqueName="[Base_Vendas].[valor_frete].[All]" allUniqueName="[Base_Vendas].[valor_frete].[All]" dimensionUniqueName="[Base_Vendas]" displayFolder="" count="0" memberValueDatatype="20" unbalanced="0"/>
    <cacheHierarchy uniqueName="[Base_Vendas].[status_pedido]" caption="status_pedido" attribute="1" defaultMemberUniqueName="[Base_Vendas].[status_pedido].[All]" allUniqueName="[Base_Vendas].[status_pedido].[All]" dimensionUniqueName="[Base_Vendas]" displayFolder="" count="2" memberValueDatatype="130" unbalanced="0">
      <fieldsUsage count="2">
        <fieldUsage x="-1"/>
        <fieldUsage x="4"/>
      </fieldsUsage>
    </cacheHierarchy>
    <cacheHierarchy uniqueName="[Base_Vendas].[forma_pagamento]" caption="forma_pagamento" attribute="1" defaultMemberUniqueName="[Base_Vendas].[forma_pagamento].[All]" allUniqueName="[Base_Vendas].[forma_pagamento].[All]" dimensionUniqueName="[Base_Vendas]" displayFolder="" count="2" memberValueDatatype="130" unbalanced="0"/>
    <cacheHierarchy uniqueName="[Base_Vendas].[status_entrega]" caption="status_entrega" attribute="1" defaultMemberUniqueName="[Base_Vendas].[status_entrega].[All]" allUniqueName="[Base_Vendas].[status_entrega].[All]" dimensionUniqueName="[Base_Vendas]" displayFolder="" count="0" memberValueDatatype="130" unbalanced="0"/>
    <cacheHierarchy uniqueName="[Base_Vendas].[data_envio]" caption="data_envio" attribute="1" defaultMemberUniqueName="[Base_Vendas].[data_envio].[All]" allUniqueName="[Base_Vendas].[data_envio].[All]" dimensionUniqueName="[Base_Vendas]" displayFolder="" count="0" memberValueDatatype="130" unbalanced="0"/>
    <cacheHierarchy uniqueName="[Base_Vendas].[data_entrega]" caption="data_entrega" attribute="1" defaultMemberUniqueName="[Base_Vendas].[data_entrega].[All]" allUniqueName="[Base_Vendas].[data_entrega].[All]" dimensionUniqueName="[Base_Vendas]" displayFolder="" count="0" memberValueDatatype="130" unbalanced="0"/>
    <cacheHierarchy uniqueName="[Base_Vendas].[codigo_rastreio]" caption="codigo_rastreio" attribute="1" defaultMemberUniqueName="[Base_Vendas].[codigo_rastreio].[All]" allUniqueName="[Base_Vendas].[codigo_rastreio].[All]" dimensionUniqueName="[Base_Vendas]" displayFolder="" count="0" memberValueDatatype="130" unbalanced="0"/>
    <cacheHierarchy uniqueName="[Measures].[Contagem de id_pedido]" caption="Contagem de id_pedido" measure="1" displayFolder="" measureGroup="Base_Venda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istinta de id_pedido]" caption="Contagem Distinta de id_pedido" measure="1" displayFolder="" measureGroup="Base_Venda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oma de valor_item]" caption="Soma de valor_item" measure="1" displayFolder="" measureGroup="Base_Venda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mes_pedido]" caption="Soma de mes_pedido" measure="1" displayFolder="" measureGroup="Base_Venda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Faturamento_Total]" caption="Faturamento_Total" measure="1" displayFolder="" measureGroup="Base_Vendas" count="0" oneField="1">
      <fieldsUsage count="1">
        <fieldUsage x="1"/>
      </fieldsUsage>
    </cacheHierarchy>
    <cacheHierarchy uniqueName="[Measures].[Qnt_Pedidos]" caption="Qnt_Pedidos" measure="1" displayFolder="" measureGroup="Base_Vendas" count="0"/>
    <cacheHierarchy uniqueName="[Measures].[Ticket_Medio]" caption="Ticket_Medio" measure="1" displayFolder="" measureGroup="Base_Vendas" count="0"/>
    <cacheHierarchy uniqueName="[Measures].[Qnt_Itens]" caption="Qnt_Itens" measure="1" displayFolder="" measureGroup="Base_Vendas" count="0"/>
    <cacheHierarchy uniqueName="[Measures].[Clientes_Ativos]" caption="Clientes_Ativos" measure="1" displayFolder="" measureGroup="Base_Vendas" count="0"/>
    <cacheHierarchy uniqueName="[Measures].[__XL_Count Base_Vendas]" caption="__XL_Count Base_Vendas" measure="1" displayFolder="" measureGroup="Base_Vendas" count="0" hidden="1"/>
    <cacheHierarchy uniqueName="[Measures].[__No measures defined]" caption="__No measures defined" measure="1" displayFolder="" count="0" hidden="1"/>
  </cacheHierarchies>
  <kpis count="0"/>
  <dimensions count="2">
    <dimension name="Base_Vendas" uniqueName="[Base_Vendas]" caption="Base_Vendas"/>
    <dimension measure="1" name="Measures" uniqueName="[Measures]" caption="Measures"/>
  </dimensions>
  <measureGroups count="1">
    <measureGroup name="Base_Vendas" caption="Base_Venda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ri" refreshedDate="45984.826141203703" backgroundQuery="1" createdVersion="8" refreshedVersion="8" minRefreshableVersion="3" recordCount="0" supportSubquery="1" supportAdvancedDrill="1" xr:uid="{971AF3DA-DC01-417B-8DD5-9B459D0BFA82}">
  <cacheSource type="external" connectionId="1"/>
  <cacheFields count="6">
    <cacheField name="[Base_Vendas].[categoria_produto].[categoria_produto]" caption="categoria_produto" numFmtId="0" hierarchy="11" level="1">
      <sharedItems count="10">
        <s v=" Acessórios"/>
        <s v=" Áudio"/>
        <s v=" Eletrônicos"/>
        <s v=" Informática"/>
        <s v=" Móveis"/>
        <s v=" Periféricos"/>
        <s v=" Redes"/>
        <s v=" Tablets"/>
        <s v=" Telefonia"/>
        <s v=" Wearables"/>
      </sharedItems>
    </cacheField>
    <cacheField name="[Base_Vendas].[ano_pedido].[ano_pedido]" caption="ano_pedido" numFmtId="0" hierarchy="2" level="1">
      <sharedItems containsSemiMixedTypes="0" containsNonDate="0" containsString="0"/>
    </cacheField>
    <cacheField name="[Base_Vendas].[mes_pedido].[mes_pedido]" caption="mes_pedido" numFmtId="0" hierarchy="3" level="1">
      <sharedItems containsSemiMixedTypes="0" containsNonDate="0" containsString="0"/>
    </cacheField>
    <cacheField name="[Base_Vendas].[status_pedido].[status_pedido]" caption="status_pedido" numFmtId="0" hierarchy="16" level="1">
      <sharedItems containsSemiMixedTypes="0" containsNonDate="0" containsString="0"/>
    </cacheField>
    <cacheField name="[Measures].[Faturamento_Total]" caption="Faturamento_Total" numFmtId="0" hierarchy="26" level="32767"/>
    <cacheField name="[Base_Vendas].[forma_pagamento].[forma_pagamento]" caption="forma_pagamento" numFmtId="0" hierarchy="17" level="1">
      <sharedItems containsSemiMixedTypes="0" containsNonDate="0" containsString="0"/>
    </cacheField>
  </cacheFields>
  <cacheHierarchies count="33">
    <cacheHierarchy uniqueName="[Base_Vendas].[id_pedido]" caption="id_pedido" attribute="1" defaultMemberUniqueName="[Base_Vendas].[id_pedido].[All]" allUniqueName="[Base_Vendas].[id_pedido].[All]" dimensionUniqueName="[Base_Vendas]" displayFolder="" count="0" memberValueDatatype="130" unbalanced="0"/>
    <cacheHierarchy uniqueName="[Base_Vendas].[data_pedido]" caption="data_pedido" attribute="1" defaultMemberUniqueName="[Base_Vendas].[data_pedido].[All]" allUniqueName="[Base_Vendas].[data_pedido].[All]" dimensionUniqueName="[Base_Vendas]" displayFolder="" count="0" memberValueDatatype="130" unbalanced="0"/>
    <cacheHierarchy uniqueName="[Base_Vendas].[ano_pedido]" caption="ano_pedido" attribute="1" defaultMemberUniqueName="[Base_Vendas].[ano_pedido].[All]" allUniqueName="[Base_Vendas].[ano_pedido].[All]" dimensionUniqueName="[Base_Vendas]" displayFolder="" count="2" memberValueDatatype="20" unbalanced="0">
      <fieldsUsage count="2">
        <fieldUsage x="-1"/>
        <fieldUsage x="1"/>
      </fieldsUsage>
    </cacheHierarchy>
    <cacheHierarchy uniqueName="[Base_Vendas].[mes_pedido]" caption="mes_pedido" attribute="1" defaultMemberUniqueName="[Base_Vendas].[mes_pedido].[All]" allUniqueName="[Base_Vendas].[mes_pedido].[All]" dimensionUniqueName="[Base_Vendas]" displayFolder="" count="2" memberValueDatatype="20" unbalanced="0">
      <fieldsUsage count="2">
        <fieldUsage x="-1"/>
        <fieldUsage x="2"/>
      </fieldsUsage>
    </cacheHierarchy>
    <cacheHierarchy uniqueName="[Base_Vendas].[id_cliente]" caption="id_cliente" attribute="1" defaultMemberUniqueName="[Base_Vendas].[id_cliente].[All]" allUniqueName="[Base_Vendas].[id_cliente].[All]" dimensionUniqueName="[Base_Vendas]" displayFolder="" count="0" memberValueDatatype="20" unbalanced="0"/>
    <cacheHierarchy uniqueName="[Base_Vendas].[nome_cliente]" caption="nome_cliente" attribute="1" defaultMemberUniqueName="[Base_Vendas].[nome_cliente].[All]" allUniqueName="[Base_Vendas].[nome_cliente].[All]" dimensionUniqueName="[Base_Vendas]" displayFolder="" count="0" memberValueDatatype="130" unbalanced="0"/>
    <cacheHierarchy uniqueName="[Base_Vendas].[tipo_cliente]" caption="tipo_cliente" attribute="1" defaultMemberUniqueName="[Base_Vendas].[tipo_cliente].[All]" allUniqueName="[Base_Vendas].[tipo_cliente].[All]" dimensionUniqueName="[Base_Vendas]" displayFolder="" count="0" memberValueDatatype="130" unbalanced="0"/>
    <cacheHierarchy uniqueName="[Base_Vendas].[cidade]" caption="cidade" attribute="1" defaultMemberUniqueName="[Base_Vendas].[cidade].[All]" allUniqueName="[Base_Vendas].[cidade].[All]" dimensionUniqueName="[Base_Vendas]" displayFolder="" count="0" memberValueDatatype="130" unbalanced="0"/>
    <cacheHierarchy uniqueName="[Base_Vendas].[estado]" caption="estado" attribute="1" defaultMemberUniqueName="[Base_Vendas].[estado].[All]" allUniqueName="[Base_Vendas].[estado].[All]" dimensionUniqueName="[Base_Vendas]" displayFolder="" count="0" memberValueDatatype="130" unbalanced="0"/>
    <cacheHierarchy uniqueName="[Base_Vendas].[id_produto]" caption="id_produto" attribute="1" defaultMemberUniqueName="[Base_Vendas].[id_produto].[All]" allUniqueName="[Base_Vendas].[id_produto].[All]" dimensionUniqueName="[Base_Vendas]" displayFolder="" count="0" memberValueDatatype="20" unbalanced="0"/>
    <cacheHierarchy uniqueName="[Base_Vendas].[nome_produto]" caption="nome_produto" attribute="1" defaultMemberUniqueName="[Base_Vendas].[nome_produto].[All]" allUniqueName="[Base_Vendas].[nome_produto].[All]" dimensionUniqueName="[Base_Vendas]" displayFolder="" count="0" memberValueDatatype="130" unbalanced="0"/>
    <cacheHierarchy uniqueName="[Base_Vendas].[categoria_produto]" caption="categoria_produto" attribute="1" defaultMemberUniqueName="[Base_Vendas].[categoria_produto].[All]" allUniqueName="[Base_Vendas].[categoria_produto].[All]" dimensionUniqueName="[Base_Vendas]" displayFolder="" count="2" memberValueDatatype="130" unbalanced="0">
      <fieldsUsage count="2">
        <fieldUsage x="-1"/>
        <fieldUsage x="0"/>
      </fieldsUsage>
    </cacheHierarchy>
    <cacheHierarchy uniqueName="[Base_Vendas].[quantidade]" caption="quantidade" attribute="1" defaultMemberUniqueName="[Base_Vendas].[quantidade].[All]" allUniqueName="[Base_Vendas].[quantidade].[All]" dimensionUniqueName="[Base_Vendas]" displayFolder="" count="0" memberValueDatatype="20" unbalanced="0"/>
    <cacheHierarchy uniqueName="[Base_Vendas].[preco_unitario]" caption="preco_unitario" attribute="1" defaultMemberUniqueName="[Base_Vendas].[preco_unitario].[All]" allUniqueName="[Base_Vendas].[preco_unitario].[All]" dimensionUniqueName="[Base_Vendas]" displayFolder="" count="0" memberValueDatatype="20" unbalanced="0"/>
    <cacheHierarchy uniqueName="[Base_Vendas].[valor_item]" caption="valor_item" attribute="1" defaultMemberUniqueName="[Base_Vendas].[valor_item].[All]" allUniqueName="[Base_Vendas].[valor_item].[All]" dimensionUniqueName="[Base_Vendas]" displayFolder="" count="0" memberValueDatatype="20" unbalanced="0"/>
    <cacheHierarchy uniqueName="[Base_Vendas].[valor_frete]" caption="valor_frete" attribute="1" defaultMemberUniqueName="[Base_Vendas].[valor_frete].[All]" allUniqueName="[Base_Vendas].[valor_frete].[All]" dimensionUniqueName="[Base_Vendas]" displayFolder="" count="0" memberValueDatatype="20" unbalanced="0"/>
    <cacheHierarchy uniqueName="[Base_Vendas].[status_pedido]" caption="status_pedido" attribute="1" defaultMemberUniqueName="[Base_Vendas].[status_pedido].[All]" allUniqueName="[Base_Vendas].[status_pedido].[All]" dimensionUniqueName="[Base_Vendas]" displayFolder="" count="2" memberValueDatatype="130" unbalanced="0">
      <fieldsUsage count="2">
        <fieldUsage x="-1"/>
        <fieldUsage x="3"/>
      </fieldsUsage>
    </cacheHierarchy>
    <cacheHierarchy uniqueName="[Base_Vendas].[forma_pagamento]" caption="forma_pagamento" attribute="1" defaultMemberUniqueName="[Base_Vendas].[forma_pagamento].[All]" allUniqueName="[Base_Vendas].[forma_pagamento].[All]" dimensionUniqueName="[Base_Vendas]" displayFolder="" count="2" memberValueDatatype="130" unbalanced="0">
      <fieldsUsage count="2">
        <fieldUsage x="-1"/>
        <fieldUsage x="5"/>
      </fieldsUsage>
    </cacheHierarchy>
    <cacheHierarchy uniqueName="[Base_Vendas].[status_entrega]" caption="status_entrega" attribute="1" defaultMemberUniqueName="[Base_Vendas].[status_entrega].[All]" allUniqueName="[Base_Vendas].[status_entrega].[All]" dimensionUniqueName="[Base_Vendas]" displayFolder="" count="0" memberValueDatatype="130" unbalanced="0"/>
    <cacheHierarchy uniqueName="[Base_Vendas].[data_envio]" caption="data_envio" attribute="1" defaultMemberUniqueName="[Base_Vendas].[data_envio].[All]" allUniqueName="[Base_Vendas].[data_envio].[All]" dimensionUniqueName="[Base_Vendas]" displayFolder="" count="0" memberValueDatatype="130" unbalanced="0"/>
    <cacheHierarchy uniqueName="[Base_Vendas].[data_entrega]" caption="data_entrega" attribute="1" defaultMemberUniqueName="[Base_Vendas].[data_entrega].[All]" allUniqueName="[Base_Vendas].[data_entrega].[All]" dimensionUniqueName="[Base_Vendas]" displayFolder="" count="0" memberValueDatatype="130" unbalanced="0"/>
    <cacheHierarchy uniqueName="[Base_Vendas].[codigo_rastreio]" caption="codigo_rastreio" attribute="1" defaultMemberUniqueName="[Base_Vendas].[codigo_rastreio].[All]" allUniqueName="[Base_Vendas].[codigo_rastreio].[All]" dimensionUniqueName="[Base_Vendas]" displayFolder="" count="0" memberValueDatatype="130" unbalanced="0"/>
    <cacheHierarchy uniqueName="[Measures].[Contagem de id_pedido]" caption="Contagem de id_pedido" measure="1" displayFolder="" measureGroup="Base_Venda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istinta de id_pedido]" caption="Contagem Distinta de id_pedido" measure="1" displayFolder="" measureGroup="Base_Venda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oma de valor_item]" caption="Soma de valor_item" measure="1" displayFolder="" measureGroup="Base_Venda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mes_pedido]" caption="Soma de mes_pedido" measure="1" displayFolder="" measureGroup="Base_Venda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Faturamento_Total]" caption="Faturamento_Total" measure="1" displayFolder="" measureGroup="Base_Vendas" count="0" oneField="1">
      <fieldsUsage count="1">
        <fieldUsage x="4"/>
      </fieldsUsage>
    </cacheHierarchy>
    <cacheHierarchy uniqueName="[Measures].[Qnt_Pedidos]" caption="Qnt_Pedidos" measure="1" displayFolder="" measureGroup="Base_Vendas" count="0"/>
    <cacheHierarchy uniqueName="[Measures].[Ticket_Medio]" caption="Ticket_Medio" measure="1" displayFolder="" measureGroup="Base_Vendas" count="0"/>
    <cacheHierarchy uniqueName="[Measures].[Qnt_Itens]" caption="Qnt_Itens" measure="1" displayFolder="" measureGroup="Base_Vendas" count="0"/>
    <cacheHierarchy uniqueName="[Measures].[Clientes_Ativos]" caption="Clientes_Ativos" measure="1" displayFolder="" measureGroup="Base_Vendas" count="0"/>
    <cacheHierarchy uniqueName="[Measures].[__XL_Count Base_Vendas]" caption="__XL_Count Base_Vendas" measure="1" displayFolder="" measureGroup="Base_Vendas" count="0" hidden="1"/>
    <cacheHierarchy uniqueName="[Measures].[__No measures defined]" caption="__No measures defined" measure="1" displayFolder="" count="0" hidden="1"/>
  </cacheHierarchies>
  <kpis count="0"/>
  <dimensions count="2">
    <dimension name="Base_Vendas" uniqueName="[Base_Vendas]" caption="Base_Vendas"/>
    <dimension measure="1" name="Measures" uniqueName="[Measures]" caption="Measures"/>
  </dimensions>
  <measureGroups count="1">
    <measureGroup name="Base_Vendas" caption="Base_Venda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ri" refreshedDate="45984.826141782411" backgroundQuery="1" createdVersion="8" refreshedVersion="8" minRefreshableVersion="3" recordCount="0" supportSubquery="1" supportAdvancedDrill="1" xr:uid="{825C36F3-5F03-47DC-B79E-A6756616A5C4}">
  <cacheSource type="external" connectionId="1"/>
  <cacheFields count="7">
    <cacheField name="[Base_Vendas].[ano_pedido].[ano_pedido]" caption="ano_pedido" numFmtId="0" hierarchy="2" level="1">
      <sharedItems containsSemiMixedTypes="0" containsString="0" containsNumber="1" containsInteger="1" minValue="2025" maxValue="2025" count="1">
        <n v="2025"/>
      </sharedItems>
      <extLst>
        <ext xmlns:x15="http://schemas.microsoft.com/office/spreadsheetml/2010/11/main" uri="{4F2E5C28-24EA-4eb8-9CBF-B6C8F9C3D259}">
          <x15:cachedUniqueNames>
            <x15:cachedUniqueName index="0" name="[Base_Vendas].[ano_pedido].&amp;[2025]"/>
          </x15:cachedUniqueNames>
        </ext>
      </extLst>
    </cacheField>
    <cacheField name="[Base_Vendas].[mes_pedido].[mes_pedido]" caption="mes_pedido" numFmtId="0" hierarchy="3" level="1">
      <sharedItems containsSemiMixedTypes="0" containsString="0" containsNumber="1" containsInteger="1" minValue="9" maxValue="10" count="2">
        <n v="9"/>
        <n v="10"/>
      </sharedItems>
      <extLst>
        <ext xmlns:x15="http://schemas.microsoft.com/office/spreadsheetml/2010/11/main" uri="{4F2E5C28-24EA-4eb8-9CBF-B6C8F9C3D259}">
          <x15:cachedUniqueNames>
            <x15:cachedUniqueName index="0" name="[Base_Vendas].[mes_pedido].&amp;[9]"/>
            <x15:cachedUniqueName index="1" name="[Base_Vendas].[mes_pedido].&amp;[10]"/>
          </x15:cachedUniqueNames>
        </ext>
      </extLst>
    </cacheField>
    <cacheField name="[Base_Vendas].[status_pedido].[status_pedido]" caption="status_pedido" numFmtId="0" hierarchy="16" level="1">
      <sharedItems containsSemiMixedTypes="0" containsNonDate="0" containsString="0"/>
    </cacheField>
    <cacheField name="[Measures].[Faturamento_Total]" caption="Faturamento_Total" numFmtId="0" hierarchy="26" level="32767"/>
    <cacheField name="[Measures].[Qnt_Pedidos]" caption="Qnt_Pedidos" numFmtId="0" hierarchy="27" level="32767"/>
    <cacheField name="[Measures].[Ticket_Medio]" caption="Ticket_Medio" numFmtId="0" hierarchy="28" level="32767"/>
    <cacheField name="[Base_Vendas].[categoria_produto].[categoria_produto]" caption="categoria_produto" numFmtId="0" hierarchy="11" level="1">
      <sharedItems containsSemiMixedTypes="0" containsNonDate="0" containsString="0"/>
    </cacheField>
  </cacheFields>
  <cacheHierarchies count="33">
    <cacheHierarchy uniqueName="[Base_Vendas].[id_pedido]" caption="id_pedido" attribute="1" defaultMemberUniqueName="[Base_Vendas].[id_pedido].[All]" allUniqueName="[Base_Vendas].[id_pedido].[All]" dimensionUniqueName="[Base_Vendas]" displayFolder="" count="0" memberValueDatatype="130" unbalanced="0"/>
    <cacheHierarchy uniqueName="[Base_Vendas].[data_pedido]" caption="data_pedido" attribute="1" defaultMemberUniqueName="[Base_Vendas].[data_pedido].[All]" allUniqueName="[Base_Vendas].[data_pedido].[All]" dimensionUniqueName="[Base_Vendas]" displayFolder="" count="0" memberValueDatatype="130" unbalanced="0"/>
    <cacheHierarchy uniqueName="[Base_Vendas].[ano_pedido]" caption="ano_pedido" attribute="1" defaultMemberUniqueName="[Base_Vendas].[ano_pedido].[All]" allUniqueName="[Base_Vendas].[ano_pedido].[All]" dimensionUniqueName="[Base_Vendas]" displayFolder="" count="2" memberValueDatatype="20" unbalanced="0">
      <fieldsUsage count="2">
        <fieldUsage x="-1"/>
        <fieldUsage x="0"/>
      </fieldsUsage>
    </cacheHierarchy>
    <cacheHierarchy uniqueName="[Base_Vendas].[mes_pedido]" caption="mes_pedido" attribute="1" defaultMemberUniqueName="[Base_Vendas].[mes_pedido].[All]" allUniqueName="[Base_Vendas].[mes_pedido].[All]" dimensionUniqueName="[Base_Vendas]" displayFolder="" count="2" memberValueDatatype="20" unbalanced="0">
      <fieldsUsage count="2">
        <fieldUsage x="-1"/>
        <fieldUsage x="1"/>
      </fieldsUsage>
    </cacheHierarchy>
    <cacheHierarchy uniqueName="[Base_Vendas].[id_cliente]" caption="id_cliente" attribute="1" defaultMemberUniqueName="[Base_Vendas].[id_cliente].[All]" allUniqueName="[Base_Vendas].[id_cliente].[All]" dimensionUniqueName="[Base_Vendas]" displayFolder="" count="0" memberValueDatatype="20" unbalanced="0"/>
    <cacheHierarchy uniqueName="[Base_Vendas].[nome_cliente]" caption="nome_cliente" attribute="1" defaultMemberUniqueName="[Base_Vendas].[nome_cliente].[All]" allUniqueName="[Base_Vendas].[nome_cliente].[All]" dimensionUniqueName="[Base_Vendas]" displayFolder="" count="0" memberValueDatatype="130" unbalanced="0"/>
    <cacheHierarchy uniqueName="[Base_Vendas].[tipo_cliente]" caption="tipo_cliente" attribute="1" defaultMemberUniqueName="[Base_Vendas].[tipo_cliente].[All]" allUniqueName="[Base_Vendas].[tipo_cliente].[All]" dimensionUniqueName="[Base_Vendas]" displayFolder="" count="0" memberValueDatatype="130" unbalanced="0"/>
    <cacheHierarchy uniqueName="[Base_Vendas].[cidade]" caption="cidade" attribute="1" defaultMemberUniqueName="[Base_Vendas].[cidade].[All]" allUniqueName="[Base_Vendas].[cidade].[All]" dimensionUniqueName="[Base_Vendas]" displayFolder="" count="0" memberValueDatatype="130" unbalanced="0"/>
    <cacheHierarchy uniqueName="[Base_Vendas].[estado]" caption="estado" attribute="1" defaultMemberUniqueName="[Base_Vendas].[estado].[All]" allUniqueName="[Base_Vendas].[estado].[All]" dimensionUniqueName="[Base_Vendas]" displayFolder="" count="0" memberValueDatatype="130" unbalanced="0"/>
    <cacheHierarchy uniqueName="[Base_Vendas].[id_produto]" caption="id_produto" attribute="1" defaultMemberUniqueName="[Base_Vendas].[id_produto].[All]" allUniqueName="[Base_Vendas].[id_produto].[All]" dimensionUniqueName="[Base_Vendas]" displayFolder="" count="0" memberValueDatatype="20" unbalanced="0"/>
    <cacheHierarchy uniqueName="[Base_Vendas].[nome_produto]" caption="nome_produto" attribute="1" defaultMemberUniqueName="[Base_Vendas].[nome_produto].[All]" allUniqueName="[Base_Vendas].[nome_produto].[All]" dimensionUniqueName="[Base_Vendas]" displayFolder="" count="0" memberValueDatatype="130" unbalanced="0"/>
    <cacheHierarchy uniqueName="[Base_Vendas].[categoria_produto]" caption="categoria_produto" attribute="1" defaultMemberUniqueName="[Base_Vendas].[categoria_produto].[All]" allUniqueName="[Base_Vendas].[categoria_produto].[All]" dimensionUniqueName="[Base_Vendas]" displayFolder="" count="2" memberValueDatatype="130" unbalanced="0">
      <fieldsUsage count="2">
        <fieldUsage x="-1"/>
        <fieldUsage x="6"/>
      </fieldsUsage>
    </cacheHierarchy>
    <cacheHierarchy uniqueName="[Base_Vendas].[quantidade]" caption="quantidade" attribute="1" defaultMemberUniqueName="[Base_Vendas].[quantidade].[All]" allUniqueName="[Base_Vendas].[quantidade].[All]" dimensionUniqueName="[Base_Vendas]" displayFolder="" count="0" memberValueDatatype="20" unbalanced="0"/>
    <cacheHierarchy uniqueName="[Base_Vendas].[preco_unitario]" caption="preco_unitario" attribute="1" defaultMemberUniqueName="[Base_Vendas].[preco_unitario].[All]" allUniqueName="[Base_Vendas].[preco_unitario].[All]" dimensionUniqueName="[Base_Vendas]" displayFolder="" count="0" memberValueDatatype="20" unbalanced="0"/>
    <cacheHierarchy uniqueName="[Base_Vendas].[valor_item]" caption="valor_item" attribute="1" defaultMemberUniqueName="[Base_Vendas].[valor_item].[All]" allUniqueName="[Base_Vendas].[valor_item].[All]" dimensionUniqueName="[Base_Vendas]" displayFolder="" count="0" memberValueDatatype="20" unbalanced="0"/>
    <cacheHierarchy uniqueName="[Base_Vendas].[valor_frete]" caption="valor_frete" attribute="1" defaultMemberUniqueName="[Base_Vendas].[valor_frete].[All]" allUniqueName="[Base_Vendas].[valor_frete].[All]" dimensionUniqueName="[Base_Vendas]" displayFolder="" count="0" memberValueDatatype="20" unbalanced="0"/>
    <cacheHierarchy uniqueName="[Base_Vendas].[status_pedido]" caption="status_pedido" attribute="1" defaultMemberUniqueName="[Base_Vendas].[status_pedido].[All]" allUniqueName="[Base_Vendas].[status_pedido].[All]" dimensionUniqueName="[Base_Vendas]" displayFolder="" count="2" memberValueDatatype="130" unbalanced="0">
      <fieldsUsage count="2">
        <fieldUsage x="-1"/>
        <fieldUsage x="2"/>
      </fieldsUsage>
    </cacheHierarchy>
    <cacheHierarchy uniqueName="[Base_Vendas].[forma_pagamento]" caption="forma_pagamento" attribute="1" defaultMemberUniqueName="[Base_Vendas].[forma_pagamento].[All]" allUniqueName="[Base_Vendas].[forma_pagamento].[All]" dimensionUniqueName="[Base_Vendas]" displayFolder="" count="2" memberValueDatatype="130" unbalanced="0"/>
    <cacheHierarchy uniqueName="[Base_Vendas].[status_entrega]" caption="status_entrega" attribute="1" defaultMemberUniqueName="[Base_Vendas].[status_entrega].[All]" allUniqueName="[Base_Vendas].[status_entrega].[All]" dimensionUniqueName="[Base_Vendas]" displayFolder="" count="0" memberValueDatatype="130" unbalanced="0"/>
    <cacheHierarchy uniqueName="[Base_Vendas].[data_envio]" caption="data_envio" attribute="1" defaultMemberUniqueName="[Base_Vendas].[data_envio].[All]" allUniqueName="[Base_Vendas].[data_envio].[All]" dimensionUniqueName="[Base_Vendas]" displayFolder="" count="0" memberValueDatatype="130" unbalanced="0"/>
    <cacheHierarchy uniqueName="[Base_Vendas].[data_entrega]" caption="data_entrega" attribute="1" defaultMemberUniqueName="[Base_Vendas].[data_entrega].[All]" allUniqueName="[Base_Vendas].[data_entrega].[All]" dimensionUniqueName="[Base_Vendas]" displayFolder="" count="0" memberValueDatatype="130" unbalanced="0"/>
    <cacheHierarchy uniqueName="[Base_Vendas].[codigo_rastreio]" caption="codigo_rastreio" attribute="1" defaultMemberUniqueName="[Base_Vendas].[codigo_rastreio].[All]" allUniqueName="[Base_Vendas].[codigo_rastreio].[All]" dimensionUniqueName="[Base_Vendas]" displayFolder="" count="0" memberValueDatatype="130" unbalanced="0"/>
    <cacheHierarchy uniqueName="[Measures].[Contagem de id_pedido]" caption="Contagem de id_pedido" measure="1" displayFolder="" measureGroup="Base_Venda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istinta de id_pedido]" caption="Contagem Distinta de id_pedido" measure="1" displayFolder="" measureGroup="Base_Venda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oma de valor_item]" caption="Soma de valor_item" measure="1" displayFolder="" measureGroup="Base_Venda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mes_pedido]" caption="Soma de mes_pedido" measure="1" displayFolder="" measureGroup="Base_Venda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Faturamento_Total]" caption="Faturamento_Total" measure="1" displayFolder="" measureGroup="Base_Vendas" count="0" oneField="1">
      <fieldsUsage count="1">
        <fieldUsage x="3"/>
      </fieldsUsage>
    </cacheHierarchy>
    <cacheHierarchy uniqueName="[Measures].[Qnt_Pedidos]" caption="Qnt_Pedidos" measure="1" displayFolder="" measureGroup="Base_Vendas" count="0" oneField="1">
      <fieldsUsage count="1">
        <fieldUsage x="4"/>
      </fieldsUsage>
    </cacheHierarchy>
    <cacheHierarchy uniqueName="[Measures].[Ticket_Medio]" caption="Ticket_Medio" measure="1" displayFolder="" measureGroup="Base_Vendas" count="0" oneField="1">
      <fieldsUsage count="1">
        <fieldUsage x="5"/>
      </fieldsUsage>
    </cacheHierarchy>
    <cacheHierarchy uniqueName="[Measures].[Qnt_Itens]" caption="Qnt_Itens" measure="1" displayFolder="" measureGroup="Base_Vendas" count="0"/>
    <cacheHierarchy uniqueName="[Measures].[Clientes_Ativos]" caption="Clientes_Ativos" measure="1" displayFolder="" measureGroup="Base_Vendas" count="0"/>
    <cacheHierarchy uniqueName="[Measures].[__XL_Count Base_Vendas]" caption="__XL_Count Base_Vendas" measure="1" displayFolder="" measureGroup="Base_Vendas" count="0" hidden="1"/>
    <cacheHierarchy uniqueName="[Measures].[__No measures defined]" caption="__No measures defined" measure="1" displayFolder="" count="0" hidden="1"/>
  </cacheHierarchies>
  <kpis count="0"/>
  <dimensions count="2">
    <dimension name="Base_Vendas" uniqueName="[Base_Vendas]" caption="Base_Vendas"/>
    <dimension measure="1" name="Measures" uniqueName="[Measures]" caption="Measures"/>
  </dimensions>
  <measureGroups count="1">
    <measureGroup name="Base_Vendas" caption="Base_Venda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ri" refreshedDate="45984.826142361111" backgroundQuery="1" createdVersion="8" refreshedVersion="8" minRefreshableVersion="3" recordCount="0" supportSubquery="1" supportAdvancedDrill="1" xr:uid="{42C16DFC-936E-4C37-A116-41984038ED43}">
  <cacheSource type="external" connectionId="1"/>
  <cacheFields count="5">
    <cacheField name="[Measures].[Faturamento_Total]" caption="Faturamento_Total" numFmtId="0" hierarchy="26" level="32767"/>
    <cacheField name="[Measures].[Qnt_Pedidos]" caption="Qnt_Pedidos" numFmtId="0" hierarchy="27" level="32767"/>
    <cacheField name="[Measures].[Ticket_Medio]" caption="Ticket_Medio" numFmtId="0" hierarchy="28" level="32767"/>
    <cacheField name="[Measures].[Clientes_Ativos]" caption="Clientes_Ativos" numFmtId="0" hierarchy="30" level="32767"/>
    <cacheField name="[Base_Vendas].[categoria_produto].[categoria_produto]" caption="categoria_produto" numFmtId="0" hierarchy="11" level="1">
      <sharedItems containsSemiMixedTypes="0" containsNonDate="0" containsString="0"/>
    </cacheField>
  </cacheFields>
  <cacheHierarchies count="33">
    <cacheHierarchy uniqueName="[Base_Vendas].[id_pedido]" caption="id_pedido" attribute="1" defaultMemberUniqueName="[Base_Vendas].[id_pedido].[All]" allUniqueName="[Base_Vendas].[id_pedido].[All]" dimensionUniqueName="[Base_Vendas]" displayFolder="" count="0" memberValueDatatype="130" unbalanced="0"/>
    <cacheHierarchy uniqueName="[Base_Vendas].[data_pedido]" caption="data_pedido" attribute="1" defaultMemberUniqueName="[Base_Vendas].[data_pedido].[All]" allUniqueName="[Base_Vendas].[data_pedido].[All]" dimensionUniqueName="[Base_Vendas]" displayFolder="" count="0" memberValueDatatype="130" unbalanced="0"/>
    <cacheHierarchy uniqueName="[Base_Vendas].[ano_pedido]" caption="ano_pedido" attribute="1" defaultMemberUniqueName="[Base_Vendas].[ano_pedido].[All]" allUniqueName="[Base_Vendas].[ano_pedido].[All]" dimensionUniqueName="[Base_Vendas]" displayFolder="" count="2" memberValueDatatype="20" unbalanced="0"/>
    <cacheHierarchy uniqueName="[Base_Vendas].[mes_pedido]" caption="mes_pedido" attribute="1" defaultMemberUniqueName="[Base_Vendas].[mes_pedido].[All]" allUniqueName="[Base_Vendas].[mes_pedido].[All]" dimensionUniqueName="[Base_Vendas]" displayFolder="" count="2" memberValueDatatype="20" unbalanced="0"/>
    <cacheHierarchy uniqueName="[Base_Vendas].[id_cliente]" caption="id_cliente" attribute="1" defaultMemberUniqueName="[Base_Vendas].[id_cliente].[All]" allUniqueName="[Base_Vendas].[id_cliente].[All]" dimensionUniqueName="[Base_Vendas]" displayFolder="" count="0" memberValueDatatype="20" unbalanced="0"/>
    <cacheHierarchy uniqueName="[Base_Vendas].[nome_cliente]" caption="nome_cliente" attribute="1" defaultMemberUniqueName="[Base_Vendas].[nome_cliente].[All]" allUniqueName="[Base_Vendas].[nome_cliente].[All]" dimensionUniqueName="[Base_Vendas]" displayFolder="" count="0" memberValueDatatype="130" unbalanced="0"/>
    <cacheHierarchy uniqueName="[Base_Vendas].[tipo_cliente]" caption="tipo_cliente" attribute="1" defaultMemberUniqueName="[Base_Vendas].[tipo_cliente].[All]" allUniqueName="[Base_Vendas].[tipo_cliente].[All]" dimensionUniqueName="[Base_Vendas]" displayFolder="" count="0" memberValueDatatype="130" unbalanced="0"/>
    <cacheHierarchy uniqueName="[Base_Vendas].[cidade]" caption="cidade" attribute="1" defaultMemberUniqueName="[Base_Vendas].[cidade].[All]" allUniqueName="[Base_Vendas].[cidade].[All]" dimensionUniqueName="[Base_Vendas]" displayFolder="" count="0" memberValueDatatype="130" unbalanced="0"/>
    <cacheHierarchy uniqueName="[Base_Vendas].[estado]" caption="estado" attribute="1" defaultMemberUniqueName="[Base_Vendas].[estado].[All]" allUniqueName="[Base_Vendas].[estado].[All]" dimensionUniqueName="[Base_Vendas]" displayFolder="" count="0" memberValueDatatype="130" unbalanced="0"/>
    <cacheHierarchy uniqueName="[Base_Vendas].[id_produto]" caption="id_produto" attribute="1" defaultMemberUniqueName="[Base_Vendas].[id_produto].[All]" allUniqueName="[Base_Vendas].[id_produto].[All]" dimensionUniqueName="[Base_Vendas]" displayFolder="" count="0" memberValueDatatype="20" unbalanced="0"/>
    <cacheHierarchy uniqueName="[Base_Vendas].[nome_produto]" caption="nome_produto" attribute="1" defaultMemberUniqueName="[Base_Vendas].[nome_produto].[All]" allUniqueName="[Base_Vendas].[nome_produto].[All]" dimensionUniqueName="[Base_Vendas]" displayFolder="" count="0" memberValueDatatype="130" unbalanced="0"/>
    <cacheHierarchy uniqueName="[Base_Vendas].[categoria_produto]" caption="categoria_produto" attribute="1" defaultMemberUniqueName="[Base_Vendas].[categoria_produto].[All]" allUniqueName="[Base_Vendas].[categoria_produto].[All]" dimensionUniqueName="[Base_Vendas]" displayFolder="" count="2" memberValueDatatype="130" unbalanced="0">
      <fieldsUsage count="2">
        <fieldUsage x="-1"/>
        <fieldUsage x="4"/>
      </fieldsUsage>
    </cacheHierarchy>
    <cacheHierarchy uniqueName="[Base_Vendas].[quantidade]" caption="quantidade" attribute="1" defaultMemberUniqueName="[Base_Vendas].[quantidade].[All]" allUniqueName="[Base_Vendas].[quantidade].[All]" dimensionUniqueName="[Base_Vendas]" displayFolder="" count="0" memberValueDatatype="20" unbalanced="0"/>
    <cacheHierarchy uniqueName="[Base_Vendas].[preco_unitario]" caption="preco_unitario" attribute="1" defaultMemberUniqueName="[Base_Vendas].[preco_unitario].[All]" allUniqueName="[Base_Vendas].[preco_unitario].[All]" dimensionUniqueName="[Base_Vendas]" displayFolder="" count="0" memberValueDatatype="20" unbalanced="0"/>
    <cacheHierarchy uniqueName="[Base_Vendas].[valor_item]" caption="valor_item" attribute="1" defaultMemberUniqueName="[Base_Vendas].[valor_item].[All]" allUniqueName="[Base_Vendas].[valor_item].[All]" dimensionUniqueName="[Base_Vendas]" displayFolder="" count="0" memberValueDatatype="20" unbalanced="0"/>
    <cacheHierarchy uniqueName="[Base_Vendas].[valor_frete]" caption="valor_frete" attribute="1" defaultMemberUniqueName="[Base_Vendas].[valor_frete].[All]" allUniqueName="[Base_Vendas].[valor_frete].[All]" dimensionUniqueName="[Base_Vendas]" displayFolder="" count="0" memberValueDatatype="20" unbalanced="0"/>
    <cacheHierarchy uniqueName="[Base_Vendas].[status_pedido]" caption="status_pedido" attribute="1" defaultMemberUniqueName="[Base_Vendas].[status_pedido].[All]" allUniqueName="[Base_Vendas].[status_pedido].[All]" dimensionUniqueName="[Base_Vendas]" displayFolder="" count="2" memberValueDatatype="130" unbalanced="0"/>
    <cacheHierarchy uniqueName="[Base_Vendas].[forma_pagamento]" caption="forma_pagamento" attribute="1" defaultMemberUniqueName="[Base_Vendas].[forma_pagamento].[All]" allUniqueName="[Base_Vendas].[forma_pagamento].[All]" dimensionUniqueName="[Base_Vendas]" displayFolder="" count="2" memberValueDatatype="130" unbalanced="0"/>
    <cacheHierarchy uniqueName="[Base_Vendas].[status_entrega]" caption="status_entrega" attribute="1" defaultMemberUniqueName="[Base_Vendas].[status_entrega].[All]" allUniqueName="[Base_Vendas].[status_entrega].[All]" dimensionUniqueName="[Base_Vendas]" displayFolder="" count="0" memberValueDatatype="130" unbalanced="0"/>
    <cacheHierarchy uniqueName="[Base_Vendas].[data_envio]" caption="data_envio" attribute="1" defaultMemberUniqueName="[Base_Vendas].[data_envio].[All]" allUniqueName="[Base_Vendas].[data_envio].[All]" dimensionUniqueName="[Base_Vendas]" displayFolder="" count="0" memberValueDatatype="130" unbalanced="0"/>
    <cacheHierarchy uniqueName="[Base_Vendas].[data_entrega]" caption="data_entrega" attribute="1" defaultMemberUniqueName="[Base_Vendas].[data_entrega].[All]" allUniqueName="[Base_Vendas].[data_entrega].[All]" dimensionUniqueName="[Base_Vendas]" displayFolder="" count="0" memberValueDatatype="130" unbalanced="0"/>
    <cacheHierarchy uniqueName="[Base_Vendas].[codigo_rastreio]" caption="codigo_rastreio" attribute="1" defaultMemberUniqueName="[Base_Vendas].[codigo_rastreio].[All]" allUniqueName="[Base_Vendas].[codigo_rastreio].[All]" dimensionUniqueName="[Base_Vendas]" displayFolder="" count="0" memberValueDatatype="130" unbalanced="0"/>
    <cacheHierarchy uniqueName="[Measures].[Contagem de id_pedido]" caption="Contagem de id_pedido" measure="1" displayFolder="" measureGroup="Base_Venda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istinta de id_pedido]" caption="Contagem Distinta de id_pedido" measure="1" displayFolder="" measureGroup="Base_Venda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oma de valor_item]" caption="Soma de valor_item" measure="1" displayFolder="" measureGroup="Base_Venda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mes_pedido]" caption="Soma de mes_pedido" measure="1" displayFolder="" measureGroup="Base_Venda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Faturamento_Total]" caption="Faturamento_Total" measure="1" displayFolder="" measureGroup="Base_Vendas" count="0" oneField="1">
      <fieldsUsage count="1">
        <fieldUsage x="0"/>
      </fieldsUsage>
    </cacheHierarchy>
    <cacheHierarchy uniqueName="[Measures].[Qnt_Pedidos]" caption="Qnt_Pedidos" measure="1" displayFolder="" measureGroup="Base_Vendas" count="0" oneField="1">
      <fieldsUsage count="1">
        <fieldUsage x="1"/>
      </fieldsUsage>
    </cacheHierarchy>
    <cacheHierarchy uniqueName="[Measures].[Ticket_Medio]" caption="Ticket_Medio" measure="1" displayFolder="" measureGroup="Base_Vendas" count="0" oneField="1">
      <fieldsUsage count="1">
        <fieldUsage x="2"/>
      </fieldsUsage>
    </cacheHierarchy>
    <cacheHierarchy uniqueName="[Measures].[Qnt_Itens]" caption="Qnt_Itens" measure="1" displayFolder="" measureGroup="Base_Vendas" count="0"/>
    <cacheHierarchy uniqueName="[Measures].[Clientes_Ativos]" caption="Clientes_Ativos" measure="1" displayFolder="" measureGroup="Base_Vendas" count="0" oneField="1">
      <fieldsUsage count="1">
        <fieldUsage x="3"/>
      </fieldsUsage>
    </cacheHierarchy>
    <cacheHierarchy uniqueName="[Measures].[__XL_Count Base_Vendas]" caption="__XL_Count Base_Vendas" measure="1" displayFolder="" measureGroup="Base_Vendas" count="0" hidden="1"/>
    <cacheHierarchy uniqueName="[Measures].[__No measures defined]" caption="__No measures defined" measure="1" displayFolder="" count="0" hidden="1"/>
  </cacheHierarchies>
  <kpis count="0"/>
  <dimensions count="2">
    <dimension name="Base_Vendas" uniqueName="[Base_Vendas]" caption="Base_Vendas"/>
    <dimension measure="1" name="Measures" uniqueName="[Measures]" caption="Measures"/>
  </dimensions>
  <measureGroups count="1">
    <measureGroup name="Base_Vendas" caption="Base_Venda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ri" refreshedDate="45984.741669444447" backgroundQuery="1" createdVersion="3" refreshedVersion="8" minRefreshableVersion="3" recordCount="0" supportSubquery="1" supportAdvancedDrill="1" xr:uid="{B06865E8-D23E-4F6B-883A-83295C3BBF9B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3">
    <cacheHierarchy uniqueName="[Base_Vendas].[id_pedido]" caption="id_pedido" attribute="1" defaultMemberUniqueName="[Base_Vendas].[id_pedido].[All]" allUniqueName="[Base_Vendas].[id_pedido].[All]" dimensionUniqueName="[Base_Vendas]" displayFolder="" count="0" memberValueDatatype="130" unbalanced="0"/>
    <cacheHierarchy uniqueName="[Base_Vendas].[data_pedido]" caption="data_pedido" attribute="1" defaultMemberUniqueName="[Base_Vendas].[data_pedido].[All]" allUniqueName="[Base_Vendas].[data_pedido].[All]" dimensionUniqueName="[Base_Vendas]" displayFolder="" count="0" memberValueDatatype="130" unbalanced="0"/>
    <cacheHierarchy uniqueName="[Base_Vendas].[ano_pedido]" caption="ano_pedido" attribute="1" defaultMemberUniqueName="[Base_Vendas].[ano_pedido].[All]" allUniqueName="[Base_Vendas].[ano_pedido].[All]" dimensionUniqueName="[Base_Vendas]" displayFolder="" count="2" memberValueDatatype="20" unbalanced="0"/>
    <cacheHierarchy uniqueName="[Base_Vendas].[mes_pedido]" caption="mes_pedido" attribute="1" defaultMemberUniqueName="[Base_Vendas].[mes_pedido].[All]" allUniqueName="[Base_Vendas].[mes_pedido].[All]" dimensionUniqueName="[Base_Vendas]" displayFolder="" count="2" memberValueDatatype="20" unbalanced="0"/>
    <cacheHierarchy uniqueName="[Base_Vendas].[id_cliente]" caption="id_cliente" attribute="1" defaultMemberUniqueName="[Base_Vendas].[id_cliente].[All]" allUniqueName="[Base_Vendas].[id_cliente].[All]" dimensionUniqueName="[Base_Vendas]" displayFolder="" count="0" memberValueDatatype="20" unbalanced="0"/>
    <cacheHierarchy uniqueName="[Base_Vendas].[nome_cliente]" caption="nome_cliente" attribute="1" defaultMemberUniqueName="[Base_Vendas].[nome_cliente].[All]" allUniqueName="[Base_Vendas].[nome_cliente].[All]" dimensionUniqueName="[Base_Vendas]" displayFolder="" count="0" memberValueDatatype="130" unbalanced="0"/>
    <cacheHierarchy uniqueName="[Base_Vendas].[tipo_cliente]" caption="tipo_cliente" attribute="1" defaultMemberUniqueName="[Base_Vendas].[tipo_cliente].[All]" allUniqueName="[Base_Vendas].[tipo_cliente].[All]" dimensionUniqueName="[Base_Vendas]" displayFolder="" count="0" memberValueDatatype="130" unbalanced="0"/>
    <cacheHierarchy uniqueName="[Base_Vendas].[cidade]" caption="cidade" attribute="1" defaultMemberUniqueName="[Base_Vendas].[cidade].[All]" allUniqueName="[Base_Vendas].[cidade].[All]" dimensionUniqueName="[Base_Vendas]" displayFolder="" count="0" memberValueDatatype="130" unbalanced="0"/>
    <cacheHierarchy uniqueName="[Base_Vendas].[estado]" caption="estado" attribute="1" defaultMemberUniqueName="[Base_Vendas].[estado].[All]" allUniqueName="[Base_Vendas].[estado].[All]" dimensionUniqueName="[Base_Vendas]" displayFolder="" count="0" memberValueDatatype="130" unbalanced="0"/>
    <cacheHierarchy uniqueName="[Base_Vendas].[id_produto]" caption="id_produto" attribute="1" defaultMemberUniqueName="[Base_Vendas].[id_produto].[All]" allUniqueName="[Base_Vendas].[id_produto].[All]" dimensionUniqueName="[Base_Vendas]" displayFolder="" count="0" memberValueDatatype="20" unbalanced="0"/>
    <cacheHierarchy uniqueName="[Base_Vendas].[nome_produto]" caption="nome_produto" attribute="1" defaultMemberUniqueName="[Base_Vendas].[nome_produto].[All]" allUniqueName="[Base_Vendas].[nome_produto].[All]" dimensionUniqueName="[Base_Vendas]" displayFolder="" count="0" memberValueDatatype="130" unbalanced="0"/>
    <cacheHierarchy uniqueName="[Base_Vendas].[categoria_produto]" caption="categoria_produto" attribute="1" defaultMemberUniqueName="[Base_Vendas].[categoria_produto].[All]" allUniqueName="[Base_Vendas].[categoria_produto].[All]" dimensionUniqueName="[Base_Vendas]" displayFolder="" count="2" memberValueDatatype="130" unbalanced="0"/>
    <cacheHierarchy uniqueName="[Base_Vendas].[quantidade]" caption="quantidade" attribute="1" defaultMemberUniqueName="[Base_Vendas].[quantidade].[All]" allUniqueName="[Base_Vendas].[quantidade].[All]" dimensionUniqueName="[Base_Vendas]" displayFolder="" count="0" memberValueDatatype="20" unbalanced="0"/>
    <cacheHierarchy uniqueName="[Base_Vendas].[preco_unitario]" caption="preco_unitario" attribute="1" defaultMemberUniqueName="[Base_Vendas].[preco_unitario].[All]" allUniqueName="[Base_Vendas].[preco_unitario].[All]" dimensionUniqueName="[Base_Vendas]" displayFolder="" count="0" memberValueDatatype="20" unbalanced="0"/>
    <cacheHierarchy uniqueName="[Base_Vendas].[valor_item]" caption="valor_item" attribute="1" defaultMemberUniqueName="[Base_Vendas].[valor_item].[All]" allUniqueName="[Base_Vendas].[valor_item].[All]" dimensionUniqueName="[Base_Vendas]" displayFolder="" count="0" memberValueDatatype="20" unbalanced="0"/>
    <cacheHierarchy uniqueName="[Base_Vendas].[valor_frete]" caption="valor_frete" attribute="1" defaultMemberUniqueName="[Base_Vendas].[valor_frete].[All]" allUniqueName="[Base_Vendas].[valor_frete].[All]" dimensionUniqueName="[Base_Vendas]" displayFolder="" count="0" memberValueDatatype="20" unbalanced="0"/>
    <cacheHierarchy uniqueName="[Base_Vendas].[status_pedido]" caption="status_pedido" attribute="1" defaultMemberUniqueName="[Base_Vendas].[status_pedido].[All]" allUniqueName="[Base_Vendas].[status_pedido].[All]" dimensionUniqueName="[Base_Vendas]" displayFolder="" count="2" memberValueDatatype="130" unbalanced="0"/>
    <cacheHierarchy uniqueName="[Base_Vendas].[forma_pagamento]" caption="forma_pagamento" attribute="1" defaultMemberUniqueName="[Base_Vendas].[forma_pagamento].[All]" allUniqueName="[Base_Vendas].[forma_pagamento].[All]" dimensionUniqueName="[Base_Vendas]" displayFolder="" count="2" memberValueDatatype="130" unbalanced="0"/>
    <cacheHierarchy uniqueName="[Base_Vendas].[status_entrega]" caption="status_entrega" attribute="1" defaultMemberUniqueName="[Base_Vendas].[status_entrega].[All]" allUniqueName="[Base_Vendas].[status_entrega].[All]" dimensionUniqueName="[Base_Vendas]" displayFolder="" count="0" memberValueDatatype="130" unbalanced="0"/>
    <cacheHierarchy uniqueName="[Base_Vendas].[data_envio]" caption="data_envio" attribute="1" defaultMemberUniqueName="[Base_Vendas].[data_envio].[All]" allUniqueName="[Base_Vendas].[data_envio].[All]" dimensionUniqueName="[Base_Vendas]" displayFolder="" count="0" memberValueDatatype="130" unbalanced="0"/>
    <cacheHierarchy uniqueName="[Base_Vendas].[data_entrega]" caption="data_entrega" attribute="1" defaultMemberUniqueName="[Base_Vendas].[data_entrega].[All]" allUniqueName="[Base_Vendas].[data_entrega].[All]" dimensionUniqueName="[Base_Vendas]" displayFolder="" count="0" memberValueDatatype="130" unbalanced="0"/>
    <cacheHierarchy uniqueName="[Base_Vendas].[codigo_rastreio]" caption="codigo_rastreio" attribute="1" defaultMemberUniqueName="[Base_Vendas].[codigo_rastreio].[All]" allUniqueName="[Base_Vendas].[codigo_rastreio].[All]" dimensionUniqueName="[Base_Vendas]" displayFolder="" count="0" memberValueDatatype="130" unbalanced="0"/>
    <cacheHierarchy uniqueName="[Measures].[Contagem de id_pedido]" caption="Contagem de id_pedido" measure="1" displayFolder="" measureGroup="Base_Venda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istinta de id_pedido]" caption="Contagem Distinta de id_pedido" measure="1" displayFolder="" measureGroup="Base_Venda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oma de valor_item]" caption="Soma de valor_item" measure="1" displayFolder="" measureGroup="Base_Venda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mes_pedido]" caption="Soma de mes_pedido" measure="1" displayFolder="" measureGroup="Base_Venda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Faturamento_Total]" caption="Faturamento_Total" measure="1" displayFolder="" measureGroup="Base_Vendas" count="0"/>
    <cacheHierarchy uniqueName="[Measures].[Qnt_Pedidos]" caption="Qnt_Pedidos" measure="1" displayFolder="" measureGroup="Base_Vendas" count="0"/>
    <cacheHierarchy uniqueName="[Measures].[Ticket_Medio]" caption="Ticket_Medio" measure="1" displayFolder="" measureGroup="Base_Vendas" count="0"/>
    <cacheHierarchy uniqueName="[Measures].[Qnt_Itens]" caption="Qnt_Itens" measure="1" displayFolder="" measureGroup="Base_Vendas" count="0"/>
    <cacheHierarchy uniqueName="[Measures].[Clientes_Ativos]" caption="Clientes_Ativos" measure="1" displayFolder="" measureGroup="Base_Vendas" count="0"/>
    <cacheHierarchy uniqueName="[Measures].[__XL_Count Base_Vendas]" caption="__XL_Count Base_Vendas" measure="1" displayFolder="" measureGroup="Base_Vendas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274075166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7DB18C-C7B3-490D-A994-6DE457F10812}" name="Tabela dinâmica14" cacheId="3" applyNumberFormats="0" applyBorderFormats="0" applyFontFormats="0" applyPatternFormats="0" applyAlignmentFormats="0" applyWidthHeightFormats="1" dataCaption="Valores" tag="664fb835-2b98-4a7c-a3ed-d19cf3920ea6" updatedVersion="8" minRefreshableVersion="3" useAutoFormatting="1" subtotalHiddenItems="1" itemPrintTitles="1" createdVersion="8" indent="0" outline="1" outlineData="1" multipleFieldFilters="0" chartFormat="6" rowHeaderCaption="status_pedido">
  <location ref="AE11:AF17" firstHeaderRow="1" firstDataRow="1" firstDataCol="1" rowPageCount="3" colPageCount="1"/>
  <pivotFields count="6">
    <pivotField axis="axisRow" allDrilled="1" subtotalTop="0" showAll="0" sortType="descending" defaultSubtotal="0">
      <items count="5">
        <item x="0" e="0"/>
        <item x="1" e="0"/>
        <item x="2" e="0"/>
        <item x="3" e="0"/>
        <item x="4" e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6">
    <i>
      <x v="4"/>
    </i>
    <i>
      <x v="2"/>
    </i>
    <i>
      <x/>
    </i>
    <i>
      <x v="1"/>
    </i>
    <i>
      <x v="3"/>
    </i>
    <i t="grand">
      <x/>
    </i>
  </rowItems>
  <colItems count="1">
    <i/>
  </colItems>
  <pageFields count="3">
    <pageField fld="1" hier="2" name="[Base_Vendas].[ano_pedido].[All]" cap="All"/>
    <pageField fld="2" hier="3" name="[Base_Vendas].[mes_pedido].[All]" cap="All"/>
    <pageField fld="3" hier="18" name="[Base_Vendas].[status_entrega].[All]" cap="All"/>
  </pageFields>
  <dataFields count="1">
    <dataField fld="4" subtotal="count" baseField="0" baseItem="0" numFmtId="1"/>
  </dataFields>
  <chartFormats count="3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3"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 caption="qnt_pedidos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9" showRowHeaders="1" showColHeaders="1" showRowStripes="0" showColStripes="0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shboard_vendas_ecommerce.xlsx!Base_Vendas">
        <x15:activeTabTopLevelEntity name="[Base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A526FD-2D48-4C2E-A567-EBF77698C3E9}" name="Tabela dinâmica5" cacheId="10" applyNumberFormats="0" applyBorderFormats="0" applyFontFormats="0" applyPatternFormats="0" applyAlignmentFormats="0" applyWidthHeightFormats="1" dataCaption="Valores" tag="850f5e55-1e32-4cd4-89c0-0961e30ab5e9" updatedVersion="8" minRefreshableVersion="3" useAutoFormatting="1" subtotalHiddenItems="1" itemPrintTitles="1" createdVersion="8" indent="0" outline="1" outlineData="1" multipleFieldFilters="0">
  <location ref="J7:M11" firstHeaderRow="0" firstDataRow="1" firstDataCol="1" rowPageCount="1" colPageCount="1"/>
  <pivotFields count="7">
    <pivotField axis="axisRow" allDrilled="1" subtotalTop="0" showAll="0" dataSourceSort="1" defaultSubtotal="0" defaultAttributeDrillState="1">
      <items count="1">
        <item x="0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2">
    <field x="0"/>
    <field x="1"/>
  </rowFields>
  <rowItems count="4">
    <i>
      <x/>
    </i>
    <i r="1">
      <x/>
    </i>
    <i r="1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hier="16" name="[Base_Vendas].[status_pedido].[All]" cap="All"/>
  </pageFields>
  <dataFields count="3">
    <dataField fld="3" subtotal="count" baseField="0" baseItem="0"/>
    <dataField fld="4" subtotal="count" baseField="0" baseItem="0"/>
    <dataField fld="5" subtotal="count" baseField="0" baseItem="0"/>
  </dataFields>
  <pivotHierarchies count="33"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 caption="qnt_pedidos"/>
    <pivotHierarchy dragToData="1" caption="faturamento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9" showRowHeaders="1" showColHeaders="1" showRowStripes="0" showColStripes="0" showLastColumn="1"/>
  <rowHierarchiesUsage count="2">
    <rowHierarchyUsage hierarchyUsage="2"/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shboard_vendas_ecommerce.xlsx!Base_Vendas">
        <x15:activeTabTopLevelEntity name="[Base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572BA8-CD96-4F89-85C9-862B7A6F4AFF}" name="Tabela dinâmica20" cacheId="8" applyNumberFormats="0" applyBorderFormats="0" applyFontFormats="0" applyPatternFormats="0" applyAlignmentFormats="0" applyWidthHeightFormats="1" dataCaption="Valores" tag="573c205f-db74-4ea5-88be-477509efb948" updatedVersion="8" minRefreshableVersion="3" useAutoFormatting="1" subtotalHiddenItems="1" rowGrandTotals="0" colGrandTotals="0" itemPrintTitles="1" createdVersion="8" indent="0" outline="1" outlineData="1" multipleFieldFilters="0" chartFormat="22">
  <location ref="O9:P19" firstHeaderRow="1" firstDataRow="1" firstDataCol="1" rowPageCount="3" colPageCount="1"/>
  <pivotFields count="6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10">
    <i>
      <x v="4"/>
    </i>
    <i>
      <x v="7"/>
    </i>
    <i>
      <x v="3"/>
    </i>
    <i>
      <x v="2"/>
    </i>
    <i>
      <x/>
    </i>
    <i>
      <x v="5"/>
    </i>
    <i>
      <x v="9"/>
    </i>
    <i>
      <x v="1"/>
    </i>
    <i>
      <x v="8"/>
    </i>
    <i>
      <x v="6"/>
    </i>
  </rowItems>
  <colItems count="1">
    <i/>
  </colItems>
  <pageFields count="3">
    <pageField fld="2" hier="2" name="[Base_Vendas].[ano_pedido].[All]" cap="All"/>
    <pageField fld="3" hier="3" name="[Base_Vendas].[mes_pedido].[All]" cap="All"/>
    <pageField fld="4" hier="16" name="[Base_Vendas].[status_pedido].[All]" cap="All"/>
  </pageFields>
  <dataFields count="1">
    <dataField fld="1" subtotal="count" baseField="0" baseItem="0"/>
  </dataFields>
  <chartFormats count="2"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3"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9" showRowHeaders="1" showColHeaders="1" showRowStripes="0" showColStripes="0" showLastColumn="1"/>
  <filters count="1">
    <filter fld="0" type="count" id="1" iMeasureHier="26">
      <autoFilter ref="A1">
        <filterColumn colId="0">
          <top10 val="10" filterVal="10"/>
        </filterColumn>
      </autoFilter>
    </filter>
  </filters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shboard_vendas_ecommerce.xlsx!Base_Vendas">
        <x15:activeTabTopLevelEntity name="[Base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B36406-F5B2-49A9-8B4A-9B5E75520BA9}" name="Tabela dinâmica23" cacheId="0" applyNumberFormats="0" applyBorderFormats="0" applyFontFormats="0" applyPatternFormats="0" applyAlignmentFormats="0" applyWidthHeightFormats="1" dataCaption="Valores" tag="f4eaa7f8-926d-4d16-8c2a-fa7e1b5c6977" updatedVersion="8" minRefreshableVersion="3" useAutoFormatting="1" subtotalHiddenItems="1" rowGrandTotals="0" colGrandTotals="0" itemPrintTitles="1" createdVersion="8" indent="0" outline="1" outlineData="1" multipleFieldFilters="0" chartFormat="13">
  <location ref="Y11:Z16" firstHeaderRow="1" firstDataRow="1" firstDataCol="1" rowPageCount="3" colPageCount="1"/>
  <pivotFields count="6"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5">
    <i>
      <x v="1"/>
    </i>
    <i>
      <x v="3"/>
    </i>
    <i>
      <x/>
    </i>
    <i>
      <x v="2"/>
    </i>
    <i>
      <x v="4"/>
    </i>
  </rowItems>
  <colItems count="1">
    <i/>
  </colItems>
  <pageFields count="3">
    <pageField fld="2" hier="2" name="[Base_Vendas].[ano_pedido].[All]" cap="All"/>
    <pageField fld="3" hier="3" name="[Base_Vendas].[mes_pedido].[All]" cap="All"/>
    <pageField fld="4" hier="16" name="[Base_Vendas].[status_pedido].[All]" cap="All"/>
  </pageFields>
  <dataFields count="1">
    <dataField fld="1" subtotal="count" showDataAs="percentOfTotal" baseField="0" baseItem="0" numFmtId="10"/>
  </dataFields>
  <formats count="2">
    <format dxfId="1">
      <pivotArea collapsedLevelsAreSubtotals="1" fieldPosition="0">
        <references count="1">
          <reference field="0" count="1">
            <x v="1"/>
          </reference>
        </references>
      </pivotArea>
    </format>
    <format dxfId="0">
      <pivotArea collapsedLevelsAreSubtotals="1" fieldPosition="0">
        <references count="1">
          <reference field="0" count="4">
            <x v="0"/>
            <x v="2"/>
            <x v="3"/>
            <x v="4"/>
          </reference>
        </references>
      </pivotArea>
    </format>
  </formats>
  <chartFormats count="6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Hierarchies count="33"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9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shboard_vendas_ecommerce.xlsx!Base_Vendas">
        <x15:activeTabTopLevelEntity name="[Base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12F749-67A5-4BEC-89D7-E7BF733011F5}" name="Tabela dinâmica16" cacheId="5" applyNumberFormats="0" applyBorderFormats="0" applyFontFormats="0" applyPatternFormats="0" applyAlignmentFormats="0" applyWidthHeightFormats="1" dataCaption="Valores" tag="82473d55-8a99-4ddf-a06a-9ca37343f18a" updatedVersion="8" minRefreshableVersion="3" useAutoFormatting="1" subtotalHiddenItems="1" itemPrintTitles="1" createdVersion="8" indent="0" outline="1" outlineData="1" multipleFieldFilters="0">
  <location ref="AK12:AK13" firstHeaderRow="1" firstDataRow="1" firstDataCol="0" rowPageCount="4" colPageCount="1"/>
  <pivotFields count="6"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Items count="1">
    <i/>
  </colItems>
  <pageFields count="4">
    <pageField fld="1" hier="2" name="[Base_Vendas].[ano_pedido].[All]" cap="All"/>
    <pageField fld="2" hier="3" name="[Base_Vendas].[mes_pedido].[All]" cap="All"/>
    <pageField fld="4" hier="18" name="[Base_Vendas].[status_entrega].[All]" cap="All"/>
    <pageField fld="3" hier="16" name="[Base_Vendas].[status_pedido].[All]" cap="All"/>
  </pageFields>
  <dataFields count="1">
    <dataField fld="0" subtotal="count" baseField="0" baseItem="0"/>
  </dataFields>
  <pivotHierarchies count="33"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shboard_vendas_ecommerce.xlsx!Base_Vendas">
        <x15:activeTabTopLevelEntity name="[Base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C5B995-1778-4029-BD66-C6ADD6B6021E}" name="Tabela dinâmica19" cacheId="6" applyNumberFormats="0" applyBorderFormats="0" applyFontFormats="0" applyPatternFormats="0" applyAlignmentFormats="0" applyWidthHeightFormats="1" dataCaption="Valores" tag="f90e20c0-8a26-481f-acb0-725e19771b39" updatedVersion="8" minRefreshableVersion="3" useAutoFormatting="1" subtotalHiddenItems="1" itemPrintTitles="1" createdVersion="8" indent="0" outline="1" outlineData="1" multipleFieldFilters="0" chartFormat="16" rowHeaderCaption="mes_pedido">
  <location ref="G8:H11" firstHeaderRow="1" firstDataRow="1" firstDataCol="1" rowPageCount="2" colPageCount="1"/>
  <pivotFields count="5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3">
    <i>
      <x/>
    </i>
    <i>
      <x v="1"/>
    </i>
    <i t="grand">
      <x/>
    </i>
  </rowItems>
  <colItems count="1">
    <i/>
  </colItems>
  <pageFields count="2">
    <pageField fld="2" hier="16" name="[Base_Vendas].[status_pedido].[All]" cap="All"/>
    <pageField fld="3" hier="18" name="[Base_Vendas].[status_entrega].[All]" cap="All"/>
  </pageFields>
  <dataFields count="1">
    <dataField name="faturamento" fld="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3"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faturamento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9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shboard_vendas_ecommerce.xlsx!Base_Vendas">
        <x15:activeTabTopLevelEntity name="[Base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8F142B-AC0E-43AF-BD6D-BFA7981921A2}" name="Tabela dinâmica15" cacheId="4" applyNumberFormats="0" applyBorderFormats="0" applyFontFormats="0" applyPatternFormats="0" applyAlignmentFormats="0" applyWidthHeightFormats="1" dataCaption="Valores" tag="30e926ba-9b17-4038-8da8-577a7ba3f251" updatedVersion="8" minRefreshableVersion="3" useAutoFormatting="1" subtotalHiddenItems="1" itemPrintTitles="1" createdVersion="8" indent="0" outline="1" outlineData="1" multipleFieldFilters="0" chartFormat="10">
  <location ref="AB12:AC24" firstHeaderRow="1" firstDataRow="1" firstDataCol="1" rowPageCount="4" colPageCount="1"/>
  <pivotFields count="7">
    <pivotField axis="axisRow" allDrilled="1" subtotalTop="0" showAll="0" sortType="descending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12">
    <i>
      <x v="9"/>
    </i>
    <i>
      <x v="2"/>
    </i>
    <i>
      <x v="8"/>
    </i>
    <i>
      <x v="4"/>
    </i>
    <i>
      <x/>
    </i>
    <i>
      <x v="3"/>
    </i>
    <i>
      <x v="10"/>
    </i>
    <i>
      <x v="5"/>
    </i>
    <i>
      <x v="1"/>
    </i>
    <i>
      <x v="6"/>
    </i>
    <i>
      <x v="7"/>
    </i>
    <i t="grand">
      <x/>
    </i>
  </rowItems>
  <colItems count="1">
    <i/>
  </colItems>
  <pageFields count="4">
    <pageField fld="2" hier="2" name="[Base_Vendas].[ano_pedido].[All]" cap="All"/>
    <pageField fld="3" hier="3" name="[Base_Vendas].[mes_pedido].[All]" cap="All"/>
    <pageField fld="4" hier="18" name="[Base_Vendas].[status_entrega].[All]" cap="All"/>
    <pageField fld="5" hier="16" name="[Base_Vendas].[status_pedido].[All]" cap="All"/>
  </pageFields>
  <dataFields count="1">
    <dataField fld="1" subtotal="count" baseField="0" baseItem="0"/>
  </dataFields>
  <chartFormats count="12"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9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9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</chartFormats>
  <pivotHierarchies count="33"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9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shboard_vendas_ecommerce.xlsx!Base_Vendas">
        <x15:activeTabTopLevelEntity name="[Base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4B527D-74D7-4CBA-8775-110B6C2AB6A9}" name="Tabela dinâmica2" cacheId="7" applyNumberFormats="0" applyBorderFormats="0" applyFontFormats="0" applyPatternFormats="0" applyAlignmentFormats="0" applyWidthHeightFormats="1" dataCaption="Valores" tag="f60fc19a-f4b8-41a4-9902-e26a8965da55" updatedVersion="8" minRefreshableVersion="3" useAutoFormatting="1" subtotalHiddenItems="1" rowGrandTotals="0" colGrandTotals="0" itemPrintTitles="1" createdVersion="8" indent="0" outline="1" outlineData="1" multipleFieldFilters="0" chartFormat="19" rowHeaderCaption="nome_cliente">
  <location ref="U12:V17" firstHeaderRow="1" firstDataRow="1" firstDataCol="1" rowPageCount="4" colPageCount="1"/>
  <pivotFields count="7">
    <pivotField axis="axisRow" allDrilled="1" subtotalTop="0" showAll="0" measureFilter="1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5">
    <i>
      <x v="4"/>
    </i>
    <i>
      <x v="3"/>
    </i>
    <i>
      <x v="2"/>
    </i>
    <i>
      <x v="1"/>
    </i>
    <i>
      <x/>
    </i>
  </rowItems>
  <colItems count="1">
    <i/>
  </colItems>
  <pageFields count="4">
    <pageField fld="2" hier="2" name="[Base_Vendas].[ano_pedido].[All]" cap="All"/>
    <pageField fld="3" hier="3" name="[Base_Vendas].[mes_pedido].[All]" cap="All"/>
    <pageField fld="4" hier="8" name="[Base_Vendas].[estado].[All]" cap="All"/>
    <pageField fld="5" hier="16" name="[Base_Vendas].[status_pedido].[All]" cap="All"/>
  </pageFields>
  <dataFields count="1">
    <dataField name="faturamento" fld="1" baseField="0" baseItem="1" numFmtId="164"/>
  </dataFields>
  <chartFormats count="1">
    <chartFormat chart="1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3"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 caption="qnt_pedidos"/>
    <pivotHierarchy dragToData="1" caption="faturamento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9" showRowHeaders="1" showColHeaders="1" showRowStripes="0" showColStripes="0" showLastColumn="1"/>
  <filters count="1">
    <filter fld="0" type="count" id="1" iMeasureHier="24">
      <autoFilter ref="A1">
        <filterColumn colId="0">
          <top10 val="5" filterVal="5"/>
        </filterColumn>
      </autoFilter>
    </filter>
  </filters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shboard_vendas_ecommerce.xlsx!Base_Vendas">
        <x15:activeTabTopLevelEntity name="[Base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3E0F1F-2244-4E0D-9CED-BB6A70A99217}" name="Tabela dinâmica22" cacheId="9" applyNumberFormats="0" applyBorderFormats="0" applyFontFormats="0" applyPatternFormats="0" applyAlignmentFormats="0" applyWidthHeightFormats="1" dataCaption="Valores" tag="936c5c1f-9fe3-47a6-beb1-a6676b1a5fe9" updatedVersion="8" minRefreshableVersion="3" useAutoFormatting="1" subtotalHiddenItems="1" rowGrandTotals="0" colGrandTotals="0" itemPrintTitles="1" createdVersion="8" indent="0" outline="1" outlineData="1" multipleFieldFilters="0" chartFormat="25">
  <location ref="R11:S21" firstHeaderRow="1" firstDataRow="1" firstDataCol="1" rowPageCount="4" colPageCount="1"/>
  <pivotFields count="6">
    <pivotField axis="axisRow" allDrilled="1" subtotalTop="0" showAll="0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10">
    <i>
      <x v="3"/>
    </i>
    <i>
      <x v="8"/>
    </i>
    <i>
      <x/>
    </i>
    <i>
      <x v="4"/>
    </i>
    <i>
      <x v="5"/>
    </i>
    <i>
      <x v="2"/>
    </i>
    <i>
      <x v="7"/>
    </i>
    <i>
      <x v="6"/>
    </i>
    <i>
      <x v="1"/>
    </i>
    <i>
      <x v="9"/>
    </i>
  </rowItems>
  <colItems count="1">
    <i/>
  </colItems>
  <pageFields count="4">
    <pageField fld="1" hier="2" name="[Base_Vendas].[ano_pedido].[All]" cap="All"/>
    <pageField fld="2" hier="3" name="[Base_Vendas].[mes_pedido].[All]" cap="All"/>
    <pageField fld="5" hier="17" name="[Base_Vendas].[forma_pagamento].[All]" cap="All"/>
    <pageField fld="3" hier="16" name="[Base_Vendas].[status_pedido].[All]" cap="All"/>
  </pageFields>
  <dataFields count="1">
    <dataField fld="4" subtotal="count" showDataAs="percentOfTotal" baseField="0" baseItem="0" numFmtId="9"/>
  </dataFields>
  <formats count="1">
    <format dxfId="2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3"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9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shboard_vendas_ecommerce.xlsx!Base_Vendas">
        <x15:activeTabTopLevelEntity name="[Base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AE5816-6F2E-450E-B13F-43AC96B42426}" name="qnt_pedidos" cacheId="1" applyNumberFormats="0" applyBorderFormats="0" applyFontFormats="0" applyPatternFormats="0" applyAlignmentFormats="0" applyWidthHeightFormats="1" dataCaption="Valores" tag="74d4288d-c900-4a8d-a35b-557392395d27" updatedVersion="8" minRefreshableVersion="3" useAutoFormatting="1" subtotalHiddenItems="1" itemPrintTitles="1" createdVersion="8" indent="0" outline="1" outlineData="1" multipleFieldFilters="0">
  <location ref="AN11:AN12" firstHeaderRow="1" firstDataRow="1" firstDataCol="0" rowPageCount="3" colPageCount="1"/>
  <pivotFields count="5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pageFields count="3">
    <pageField fld="0" hier="2" name="[Base_Vendas].[ano_pedido].[All]" cap="All"/>
    <pageField fld="1" hier="3" name="[Base_Vendas].[mes_pedido].[All]" cap="All"/>
    <pageField fld="2" hier="16" name="[Base_Vendas].[status_pedido].[All]" cap="All"/>
  </pageFields>
  <dataFields count="1">
    <dataField name="qnt_pedidos" fld="3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33"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 caption="qnt_pedidos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shboard_vendas_ecommerce.xlsx!Base_Vendas">
        <x15:activeTabTopLevelEntity name="[Base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190805-439D-4B0F-99E3-61E790020843}" name="pt_resumo_kpis" cacheId="11" applyNumberFormats="0" applyBorderFormats="0" applyFontFormats="0" applyPatternFormats="0" applyAlignmentFormats="0" applyWidthHeightFormats="1" dataCaption="Valores" tag="a554c881-4293-4699-8021-0df98c2eeb46" updatedVersion="8" minRefreshableVersion="3" useAutoFormatting="1" subtotalHiddenItems="1" itemPrintTitles="1" createdVersion="8" indent="0" outline="1" outlineData="1" multipleFieldFilters="0">
  <location ref="A4:D5" firstHeaderRow="0" firstDataRow="1" firstDataCol="0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subtotal="count" baseField="0" baseItem="0" numFmtId="7"/>
    <dataField fld="1" subtotal="count" baseField="0" baseItem="0"/>
    <dataField fld="2" subtotal="count" baseField="0" baseItem="0" numFmtId="7"/>
    <dataField fld="3" subtotal="count" baseField="0" baseItem="0"/>
  </dataFields>
  <formats count="2">
    <format dxfId="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Hierarchies count="33"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shboard_vendas_ecommerce.xlsx!Base_Vendas">
        <x15:activeTabTopLevelEntity name="[Base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1B7844-5C08-4E65-8744-DC056918F9E8}" name="Tabela dinâmica12" cacheId="2" applyNumberFormats="0" applyBorderFormats="0" applyFontFormats="0" applyPatternFormats="0" applyAlignmentFormats="0" applyWidthHeightFormats="1" dataCaption="Valores" tag="02d03ece-c4e4-4f74-91a4-0b70650af497" updatedVersion="8" minRefreshableVersion="3" useAutoFormatting="1" subtotalHiddenItems="1" itemPrintTitles="1" createdVersion="8" indent="0" outline="1" outlineData="1" multipleFieldFilters="0" chartFormat="6" rowHeaderCaption="status_pedido">
  <location ref="AH11:AI17" firstHeaderRow="1" firstDataRow="1" firstDataCol="1" rowPageCount="3" colPageCount="1"/>
  <pivotFields count="6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3"/>
  </rowFields>
  <rowItems count="6">
    <i>
      <x v="4"/>
    </i>
    <i>
      <x v="2"/>
    </i>
    <i>
      <x v="1"/>
    </i>
    <i>
      <x v="3"/>
    </i>
    <i>
      <x/>
    </i>
    <i t="grand">
      <x/>
    </i>
  </rowItems>
  <colItems count="1">
    <i/>
  </colItems>
  <pageFields count="3">
    <pageField fld="0" hier="2" name="[Base_Vendas].[ano_pedido].[All]" cap="All"/>
    <pageField fld="1" hier="3" name="[Base_Vendas].[mes_pedido].[All]" cap="All"/>
    <pageField fld="2" hier="18" name="[Base_Vendas].[status_entrega].&amp;[ Entregue]" cap=" Entregue"/>
  </pageFields>
  <dataFields count="1">
    <dataField name="faturamento" fld="4" baseField="3" baseItem="0" numFmtId="164"/>
  </dataFields>
  <chartFormats count="3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3"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>
      <members count="3" level="1">
        <member name="[Base_Vendas].[status_entrega].&amp;[ Entregue]"/>
        <member name="[Base_Vendas].[status_entrega].&amp;[ Pendente]"/>
        <member name="[Base_Vendas].[status_entrega].&amp;[ Em Transporte]"/>
      </members>
    </pivotHierarchy>
    <pivotHierarchy dragToData="1"/>
    <pivotHierarchy dragToData="1"/>
    <pivotHierarchy dragToData="1"/>
    <pivotHierarchy dragToData="1"/>
    <pivotHierarchy dragToData="1" caption="Qnt pedidos"/>
    <pivotHierarchy dragToData="1" caption="faturamento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9" showRowHeaders="1" showColHeaders="1" showRowStripes="0" showColStripes="0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shboard_vendas_ecommerce.xlsx!Base_Vendas">
        <x15:activeTabTopLevelEntity name="[Base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_pedido" xr10:uid="{C79D21DA-CF63-4674-B931-7EF7E198B277}" sourceName="[Base_Vendas].[ano_pedido]">
  <pivotTables>
    <pivotTable tabId="2" name="Tabela dinâmica23"/>
    <pivotTable tabId="2" name="qnt_pedidos"/>
    <pivotTable tabId="2" name="Tabela dinâmica12"/>
    <pivotTable tabId="2" name="Tabela dinâmica14"/>
    <pivotTable tabId="2" name="Tabela dinâmica15"/>
    <pivotTable tabId="2" name="Tabela dinâmica16"/>
    <pivotTable tabId="2" name="Tabela dinâmica19"/>
    <pivotTable tabId="2" name="Tabela dinâmica2"/>
    <pivotTable tabId="2" name="Tabela dinâmica20"/>
    <pivotTable tabId="2" name="Tabela dinâmica22"/>
    <pivotTable tabId="2" name="Tabela dinâmica5"/>
    <pivotTable tabId="2" name="pt_resumo_kpis"/>
  </pivotTables>
  <data>
    <olap pivotCacheId="1274075166">
      <levels count="2">
        <level uniqueName="[Base_Vendas].[ano_pedido].[(All)]" sourceCaption="(All)" count="0"/>
        <level uniqueName="[Base_Vendas].[ano_pedido].[ano_pedido]" sourceCaption="ano_pedido" count="1">
          <ranges>
            <range startItem="0">
              <i n="[Base_Vendas].[ano_pedido].&amp;[2025]" c="2025"/>
            </range>
          </ranges>
        </level>
      </levels>
      <selections count="1">
        <selection n="[Base_Vendas].[ano_pedido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es_pedido" xr10:uid="{F7757F28-3B2D-4C1C-AED7-6A096FC4B119}" sourceName="[Base_Vendas].[mes_pedido]">
  <pivotTables>
    <pivotTable tabId="2" name="Tabela dinâmica23"/>
    <pivotTable tabId="2" name="qnt_pedidos"/>
    <pivotTable tabId="2" name="Tabela dinâmica12"/>
    <pivotTable tabId="2" name="Tabela dinâmica14"/>
    <pivotTable tabId="2" name="Tabela dinâmica15"/>
    <pivotTable tabId="2" name="Tabela dinâmica16"/>
    <pivotTable tabId="2" name="Tabela dinâmica19"/>
    <pivotTable tabId="2" name="Tabela dinâmica2"/>
    <pivotTable tabId="2" name="Tabela dinâmica20"/>
    <pivotTable tabId="2" name="Tabela dinâmica22"/>
    <pivotTable tabId="2" name="Tabela dinâmica5"/>
    <pivotTable tabId="2" name="pt_resumo_kpis"/>
  </pivotTables>
  <data>
    <olap pivotCacheId="1274075166">
      <levels count="2">
        <level uniqueName="[Base_Vendas].[mes_pedido].[(All)]" sourceCaption="(All)" count="0"/>
        <level uniqueName="[Base_Vendas].[mes_pedido].[mes_pedido]" sourceCaption="mes_pedido" count="2">
          <ranges>
            <range startItem="0">
              <i n="[Base_Vendas].[mes_pedido].&amp;[9]" c="9"/>
              <i n="[Base_Vendas].[mes_pedido].&amp;[10]" c="10"/>
            </range>
          </ranges>
        </level>
      </levels>
      <selections count="1">
        <selection n="[Base_Vendas].[mes_pedido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_pedido" xr10:uid="{36C83F09-9C9C-434C-9CAF-6CA784BC898E}" sourceName="[Base_Vendas].[status_pedido]">
  <pivotTables>
    <pivotTable tabId="2" name="Tabela dinâmica23"/>
    <pivotTable tabId="2" name="qnt_pedidos"/>
    <pivotTable tabId="2" name="Tabela dinâmica12"/>
    <pivotTable tabId="2" name="Tabela dinâmica14"/>
    <pivotTable tabId="2" name="Tabela dinâmica15"/>
    <pivotTable tabId="2" name="Tabela dinâmica16"/>
    <pivotTable tabId="2" name="Tabela dinâmica19"/>
    <pivotTable tabId="2" name="Tabela dinâmica2"/>
    <pivotTable tabId="2" name="Tabela dinâmica20"/>
    <pivotTable tabId="2" name="Tabela dinâmica22"/>
    <pivotTable tabId="2" name="Tabela dinâmica5"/>
    <pivotTable tabId="2" name="pt_resumo_kpis"/>
  </pivotTables>
  <data>
    <olap pivotCacheId="1274075166">
      <levels count="2">
        <level uniqueName="[Base_Vendas].[status_pedido].[(All)]" sourceCaption="(All)" count="0"/>
        <level uniqueName="[Base_Vendas].[status_pedido].[status_pedido]" sourceCaption="status_pedido" count="5">
          <ranges>
            <range startItem="0">
              <i n="[Base_Vendas].[status_pedido].&amp;[ Cancelado]" c=" Cancelado"/>
              <i n="[Base_Vendas].[status_pedido].&amp;[ Em Processamento]" c=" Em Processamento"/>
              <i n="[Base_Vendas].[status_pedido].&amp;[ Entregue]" c=" Entregue"/>
              <i n="[Base_Vendas].[status_pedido].&amp;[ Enviado]" c=" Enviado"/>
              <i n="[Base_Vendas].[status_pedido].&amp;[ Pago]" c=" Pago"/>
            </range>
          </ranges>
        </level>
      </levels>
      <selections count="1">
        <selection n="[Base_Vendas].[status_pedido].[All]"/>
      </selections>
    </olap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forma_pagamento" xr10:uid="{EBE2EC3B-7B18-4A9D-B3DE-9D07D3A07429}" sourceName="[Base_Vendas].[forma_pagamento]">
  <pivotTables>
    <pivotTable tabId="2" name="Tabela dinâmica23"/>
    <pivotTable tabId="2" name="qnt_pedidos"/>
    <pivotTable tabId="2" name="Tabela dinâmica12"/>
    <pivotTable tabId="2" name="Tabela dinâmica14"/>
    <pivotTable tabId="2" name="Tabela dinâmica15"/>
    <pivotTable tabId="2" name="Tabela dinâmica16"/>
    <pivotTable tabId="2" name="Tabela dinâmica19"/>
    <pivotTable tabId="2" name="Tabela dinâmica2"/>
    <pivotTable tabId="2" name="Tabela dinâmica20"/>
    <pivotTable tabId="2" name="Tabela dinâmica22"/>
    <pivotTable tabId="2" name="Tabela dinâmica5"/>
    <pivotTable tabId="2" name="pt_resumo_kpis"/>
  </pivotTables>
  <data>
    <olap pivotCacheId="1274075166">
      <levels count="2">
        <level uniqueName="[Base_Vendas].[forma_pagamento].[(All)]" sourceCaption="(All)" count="0"/>
        <level uniqueName="[Base_Vendas].[forma_pagamento].[forma_pagamento]" sourceCaption="forma_pagamento" count="5">
          <ranges>
            <range startItem="0">
              <i n="[Base_Vendas].[forma_pagamento].&amp;[ Boleto]" c=" Boleto"/>
              <i n="[Base_Vendas].[forma_pagamento].&amp;[ Cartão de Crédito]" c=" Cartão de Crédito"/>
              <i n="[Base_Vendas].[forma_pagamento].&amp;[ Cartão de Débito]" c=" Cartão de Débito"/>
              <i n="[Base_Vendas].[forma_pagamento].&amp;[ Pix]" c=" Pix"/>
              <i n="[Base_Vendas].[forma_pagamento].&amp;[ Transferência]" c=" Transferência"/>
            </range>
          </ranges>
        </level>
      </levels>
      <selections count="1">
        <selection n="[Base_Vendas].[forma_pagamento].[All]"/>
      </selections>
    </olap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_produto" xr10:uid="{E5935DCD-D135-4452-9896-A9A003E365A9}" sourceName="[Base_Vendas].[categoria_produto]">
  <pivotTables>
    <pivotTable tabId="2" name="Tabela dinâmica23"/>
    <pivotTable tabId="2" name="qnt_pedidos"/>
    <pivotTable tabId="2" name="Tabela dinâmica12"/>
    <pivotTable tabId="2" name="Tabela dinâmica14"/>
    <pivotTable tabId="2" name="Tabela dinâmica15"/>
    <pivotTable tabId="2" name="Tabela dinâmica16"/>
    <pivotTable tabId="2" name="Tabela dinâmica19"/>
    <pivotTable tabId="2" name="Tabela dinâmica2"/>
    <pivotTable tabId="2" name="Tabela dinâmica20"/>
    <pivotTable tabId="2" name="Tabela dinâmica22"/>
    <pivotTable tabId="2" name="Tabela dinâmica5"/>
    <pivotTable tabId="2" name="pt_resumo_kpis"/>
  </pivotTables>
  <data>
    <olap pivotCacheId="1274075166">
      <levels count="2">
        <level uniqueName="[Base_Vendas].[categoria_produto].[(All)]" sourceCaption="(All)" count="0"/>
        <level uniqueName="[Base_Vendas].[categoria_produto].[categoria_produto]" sourceCaption="categoria_produto" count="10">
          <ranges>
            <range startItem="0">
              <i n="[Base_Vendas].[categoria_produto].&amp;[ Acessórios]" c=" Acessórios"/>
              <i n="[Base_Vendas].[categoria_produto].&amp;[ Áudio]" c=" Áudio"/>
              <i n="[Base_Vendas].[categoria_produto].&amp;[ Eletrônicos]" c=" Eletrônicos"/>
              <i n="[Base_Vendas].[categoria_produto].&amp;[ Informática]" c=" Informática"/>
              <i n="[Base_Vendas].[categoria_produto].&amp;[ Móveis]" c=" Móveis"/>
              <i n="[Base_Vendas].[categoria_produto].&amp;[ Periféricos]" c=" Periféricos"/>
              <i n="[Base_Vendas].[categoria_produto].&amp;[ Redes]" c=" Redes"/>
              <i n="[Base_Vendas].[categoria_produto].&amp;[ Tablets]" c=" Tablets"/>
              <i n="[Base_Vendas].[categoria_produto].&amp;[ Telefonia]" c=" Telefonia"/>
              <i n="[Base_Vendas].[categoria_produto].&amp;[ Wearables]" c=" Wearables"/>
            </range>
          </ranges>
        </level>
      </levels>
      <selections count="1">
        <selection n="[Base_Vendas].[categoria_produto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_pedido" xr10:uid="{DE0A6F9C-FB00-4843-AB23-E58233EABD7D}" cache="SegmentaçãodeDados_ano_pedido" caption="ano_pedido" level="1" rowHeight="257175"/>
  <slicer name="mes_pedido" xr10:uid="{B8FE8C45-AC4D-444D-B616-37B02BFCB5DA}" cache="SegmentaçãodeDados_mes_pedido" caption="mes_pedido" level="1" rowHeight="257175"/>
  <slicer name="status_pedido" xr10:uid="{4D89F1C7-532D-42BB-8E59-52B09DF35A11}" cache="SegmentaçãodeDados_status_pedido" caption="status_pedido" level="1" rowHeight="257175"/>
  <slicer name="forma_pagamento" xr10:uid="{A964579E-1863-4EE1-9323-FE9849F1686B}" cache="SegmentaçãodeDados_forma_pagamento" caption="forma_pagamento" level="1" rowHeight="257175"/>
  <slicer name="categoria_produto" xr10:uid="{3B74D092-7105-4441-8878-DC2DB286B5E6}" cache="SegmentaçãodeDados_categoria_produto" caption="categoria_produto" level="1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5F3B9E-02A0-47F7-868C-32282E08569E}" name="Base_Vendas" displayName="Base_Vendas" ref="A1:V47" totalsRowShown="0" headerRowDxfId="28" dataDxfId="27">
  <autoFilter ref="A1:V47" xr:uid="{975F3B9E-02A0-47F7-868C-32282E08569E}"/>
  <tableColumns count="22">
    <tableColumn id="1" xr3:uid="{884B2BE9-2882-46B9-A4E7-B93E7A6F74C8}" name="id_pedido" dataDxfId="26"/>
    <tableColumn id="2" xr3:uid="{23D0900A-0A0E-4EF0-928A-3A7107E6748F}" name=" data_pedido" dataDxfId="25"/>
    <tableColumn id="3" xr3:uid="{DF835108-C5D4-40E7-B893-68C5F6AEE41B}" name=" ano_pedido" dataDxfId="24"/>
    <tableColumn id="4" xr3:uid="{56289184-6410-459A-B42B-C2C7F2F39CEA}" name=" mes_pedido" dataDxfId="23"/>
    <tableColumn id="5" xr3:uid="{F04A3B09-C185-402D-A80B-A64B8AD088D6}" name=" id_cliente" dataDxfId="22"/>
    <tableColumn id="6" xr3:uid="{326C33E9-7F09-429E-BA0B-5AAEE9BB0A8B}" name=" nome_cliente" dataDxfId="21"/>
    <tableColumn id="7" xr3:uid="{3E589E91-999A-4916-B01D-ACE846FEEA9A}" name=" tipo_cliente" dataDxfId="20"/>
    <tableColumn id="8" xr3:uid="{BE9A5D91-6113-4E5C-A6D1-C76891073E39}" name=" cidade" dataDxfId="19"/>
    <tableColumn id="9" xr3:uid="{BBB4ADFA-0D3F-4FD9-BA0D-24EACB130B40}" name=" estado" dataDxfId="18"/>
    <tableColumn id="10" xr3:uid="{4BA2DDFC-CC1D-4851-B306-53CD1E56472B}" name=" id_produto" dataDxfId="17"/>
    <tableColumn id="11" xr3:uid="{137B18BC-A475-4A26-8A0F-3E6166688602}" name=" nome_produto" dataDxfId="16"/>
    <tableColumn id="12" xr3:uid="{3AA63606-3063-49FD-848B-6A93AA00F1E7}" name=" categoria_produto" dataDxfId="15"/>
    <tableColumn id="13" xr3:uid="{7CD18B79-6A0D-4A83-9EE3-E6F3CBD4FE0C}" name=" quantidade" dataDxfId="14"/>
    <tableColumn id="14" xr3:uid="{A6E465F5-422F-459E-B14B-7A507F4A4B12}" name=" preco_unitario" dataDxfId="13"/>
    <tableColumn id="15" xr3:uid="{1C1797B5-5D11-4F5B-86B8-6495127BDDAB}" name=" valor_item" dataDxfId="12"/>
    <tableColumn id="16" xr3:uid="{8F30C16F-736C-45E5-8359-6B735B7AA545}" name=" valor_frete" dataDxfId="11"/>
    <tableColumn id="17" xr3:uid="{9C139D65-0803-43DA-8D32-4207897CC9A7}" name=" status_pedido" dataDxfId="10"/>
    <tableColumn id="18" xr3:uid="{B1D03545-133E-4875-880F-8B717AA3E217}" name=" forma_pagamento" dataDxfId="9"/>
    <tableColumn id="19" xr3:uid="{36261555-B441-4639-8FB6-A25C81B59DC4}" name=" status_entrega" dataDxfId="8"/>
    <tableColumn id="20" xr3:uid="{5AF9E1FD-011D-4275-815D-8F832B81F5EF}" name=" data_envio" dataDxfId="7"/>
    <tableColumn id="21" xr3:uid="{E4DE3767-01A5-4D54-B16E-4F58038E5670}" name=" data_entrega" dataDxfId="6"/>
    <tableColumn id="22" xr3:uid="{BE5B9542-D6F3-4E65-8F2A-EAB709012379}" name=" codigo_rastreio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45F82"/>
    </a:accent1>
    <a:accent2>
      <a:srgbClr val="E87331"/>
    </a:accent2>
    <a:accent3>
      <a:srgbClr val="186C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45F82"/>
    </a:accent1>
    <a:accent2>
      <a:srgbClr val="E87331"/>
    </a:accent2>
    <a:accent3>
      <a:srgbClr val="186C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45F82"/>
    </a:accent1>
    <a:accent2>
      <a:srgbClr val="E87331"/>
    </a:accent2>
    <a:accent3>
      <a:srgbClr val="186C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45F82"/>
    </a:accent1>
    <a:accent2>
      <a:srgbClr val="E87331"/>
    </a:accent2>
    <a:accent3>
      <a:srgbClr val="186C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45F82"/>
    </a:accent1>
    <a:accent2>
      <a:srgbClr val="E87331"/>
    </a:accent2>
    <a:accent3>
      <a:srgbClr val="186C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45F82"/>
    </a:accent1>
    <a:accent2>
      <a:srgbClr val="E87331"/>
    </a:accent2>
    <a:accent3>
      <a:srgbClr val="186C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45F82"/>
    </a:accent1>
    <a:accent2>
      <a:srgbClr val="E87331"/>
    </a:accent2>
    <a:accent3>
      <a:srgbClr val="186C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8"/>
  <sheetViews>
    <sheetView zoomScale="70" zoomScaleNormal="70" workbookViewId="0">
      <selection sqref="A1:V47"/>
    </sheetView>
  </sheetViews>
  <sheetFormatPr defaultColWidth="9.5703125" defaultRowHeight="15" x14ac:dyDescent="0.25"/>
  <cols>
    <col min="1" max="1" width="19.5703125" bestFit="1" customWidth="1"/>
    <col min="2" max="2" width="23.42578125" bestFit="1" customWidth="1"/>
    <col min="3" max="3" width="22.42578125" bestFit="1" customWidth="1"/>
    <col min="4" max="4" width="22.5703125" bestFit="1" customWidth="1"/>
    <col min="5" max="5" width="20.140625" bestFit="1" customWidth="1"/>
    <col min="6" max="6" width="27.28515625" bestFit="1" customWidth="1"/>
    <col min="7" max="7" width="22.42578125" bestFit="1" customWidth="1"/>
    <col min="8" max="8" width="22.140625" bestFit="1" customWidth="1"/>
    <col min="9" max="9" width="16.7109375" bestFit="1" customWidth="1"/>
    <col min="10" max="10" width="21.140625" bestFit="1" customWidth="1"/>
    <col min="11" max="11" width="30.5703125" bestFit="1" customWidth="1"/>
    <col min="12" max="12" width="30.28515625" bestFit="1" customWidth="1"/>
    <col min="13" max="13" width="21.7109375" bestFit="1" customWidth="1"/>
    <col min="14" max="14" width="28.28515625" style="9" bestFit="1" customWidth="1"/>
    <col min="15" max="15" width="23.140625" style="9" bestFit="1" customWidth="1"/>
    <col min="16" max="16" width="23.85546875" bestFit="1" customWidth="1"/>
    <col min="17" max="17" width="25.28515625" bestFit="1" customWidth="1"/>
    <col min="18" max="18" width="29.7109375" bestFit="1" customWidth="1"/>
    <col min="19" max="19" width="26.28515625" bestFit="1" customWidth="1"/>
    <col min="20" max="20" width="23" bestFit="1" customWidth="1"/>
    <col min="21" max="21" width="24.42578125" bestFit="1" customWidth="1"/>
    <col min="22" max="22" width="26.8554687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0" t="s">
        <v>12</v>
      </c>
      <c r="N1" s="8" t="s">
        <v>13</v>
      </c>
      <c r="O1" s="8" t="s">
        <v>14</v>
      </c>
      <c r="P1" s="8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2" t="s">
        <v>22</v>
      </c>
      <c r="B2" s="1" t="s">
        <v>23</v>
      </c>
      <c r="C2" s="1">
        <v>2025</v>
      </c>
      <c r="D2" s="1">
        <v>9</v>
      </c>
      <c r="E2" s="1">
        <v>1</v>
      </c>
      <c r="F2" s="1" t="s">
        <v>24</v>
      </c>
      <c r="G2" s="1" t="s">
        <v>25</v>
      </c>
      <c r="H2" s="1" t="s">
        <v>26</v>
      </c>
      <c r="I2" s="1" t="s">
        <v>27</v>
      </c>
      <c r="J2" s="1">
        <v>1</v>
      </c>
      <c r="K2" s="1" t="s">
        <v>28</v>
      </c>
      <c r="L2" s="1" t="s">
        <v>29</v>
      </c>
      <c r="M2" s="1">
        <v>1</v>
      </c>
      <c r="N2" s="8">
        <v>4800</v>
      </c>
      <c r="O2" s="8">
        <v>4800</v>
      </c>
      <c r="P2" s="8">
        <v>35</v>
      </c>
      <c r="Q2" s="1" t="s">
        <v>30</v>
      </c>
      <c r="R2" s="1" t="s">
        <v>31</v>
      </c>
      <c r="S2" s="1" t="s">
        <v>32</v>
      </c>
      <c r="T2" s="1" t="s">
        <v>33</v>
      </c>
      <c r="U2" s="1" t="s">
        <v>34</v>
      </c>
      <c r="V2" s="1" t="s">
        <v>35</v>
      </c>
    </row>
    <row r="3" spans="1:22" x14ac:dyDescent="0.25">
      <c r="A3" s="2" t="s">
        <v>22</v>
      </c>
      <c r="B3" s="1" t="s">
        <v>23</v>
      </c>
      <c r="C3" s="1">
        <v>2025</v>
      </c>
      <c r="D3" s="1">
        <v>9</v>
      </c>
      <c r="E3" s="1">
        <v>1</v>
      </c>
      <c r="F3" s="1" t="s">
        <v>24</v>
      </c>
      <c r="G3" s="1" t="s">
        <v>25</v>
      </c>
      <c r="H3" s="1" t="s">
        <v>26</v>
      </c>
      <c r="I3" s="1" t="s">
        <v>27</v>
      </c>
      <c r="J3" s="1">
        <v>3</v>
      </c>
      <c r="K3" s="1" t="s">
        <v>36</v>
      </c>
      <c r="L3" s="1" t="s">
        <v>37</v>
      </c>
      <c r="M3" s="1">
        <v>1</v>
      </c>
      <c r="N3" s="8">
        <v>250</v>
      </c>
      <c r="O3" s="8">
        <v>250</v>
      </c>
      <c r="P3" s="8">
        <v>35</v>
      </c>
      <c r="Q3" s="1" t="s">
        <v>30</v>
      </c>
      <c r="R3" s="1" t="s">
        <v>31</v>
      </c>
      <c r="S3" s="1" t="s">
        <v>32</v>
      </c>
      <c r="T3" s="1" t="s">
        <v>33</v>
      </c>
      <c r="U3" s="1" t="s">
        <v>34</v>
      </c>
      <c r="V3" s="1" t="s">
        <v>35</v>
      </c>
    </row>
    <row r="4" spans="1:22" x14ac:dyDescent="0.25">
      <c r="A4" s="2" t="s">
        <v>38</v>
      </c>
      <c r="B4" s="1" t="s">
        <v>39</v>
      </c>
      <c r="C4" s="1">
        <v>2025</v>
      </c>
      <c r="D4" s="1">
        <v>9</v>
      </c>
      <c r="E4" s="1">
        <v>2</v>
      </c>
      <c r="F4" s="1" t="s">
        <v>40</v>
      </c>
      <c r="G4" s="1" t="s">
        <v>25</v>
      </c>
      <c r="H4" s="1" t="s">
        <v>41</v>
      </c>
      <c r="I4" s="1" t="s">
        <v>27</v>
      </c>
      <c r="J4" s="1">
        <v>2</v>
      </c>
      <c r="K4" s="1" t="s">
        <v>42</v>
      </c>
      <c r="L4" s="1" t="s">
        <v>43</v>
      </c>
      <c r="M4" s="1">
        <v>1</v>
      </c>
      <c r="N4" s="8">
        <v>3600</v>
      </c>
      <c r="O4" s="8">
        <v>3600</v>
      </c>
      <c r="P4" s="8">
        <v>25</v>
      </c>
      <c r="Q4" s="1" t="s">
        <v>32</v>
      </c>
      <c r="R4" s="1" t="s">
        <v>44</v>
      </c>
      <c r="S4" s="1" t="s">
        <v>32</v>
      </c>
      <c r="T4" s="1" t="s">
        <v>34</v>
      </c>
      <c r="U4" s="1" t="s">
        <v>45</v>
      </c>
      <c r="V4" s="1" t="s">
        <v>46</v>
      </c>
    </row>
    <row r="5" spans="1:22" x14ac:dyDescent="0.25">
      <c r="A5" s="2" t="s">
        <v>38</v>
      </c>
      <c r="B5" s="1" t="s">
        <v>39</v>
      </c>
      <c r="C5" s="1">
        <v>2025</v>
      </c>
      <c r="D5" s="1">
        <v>9</v>
      </c>
      <c r="E5" s="1">
        <v>2</v>
      </c>
      <c r="F5" s="1" t="s">
        <v>40</v>
      </c>
      <c r="G5" s="1" t="s">
        <v>25</v>
      </c>
      <c r="H5" s="1" t="s">
        <v>41</v>
      </c>
      <c r="I5" s="1" t="s">
        <v>27</v>
      </c>
      <c r="J5" s="1">
        <v>9</v>
      </c>
      <c r="K5" s="1" t="s">
        <v>47</v>
      </c>
      <c r="L5" s="1" t="s">
        <v>37</v>
      </c>
      <c r="M5" s="1">
        <v>2</v>
      </c>
      <c r="N5" s="8">
        <v>80</v>
      </c>
      <c r="O5" s="8">
        <v>160</v>
      </c>
      <c r="P5" s="8">
        <v>25</v>
      </c>
      <c r="Q5" s="1" t="s">
        <v>32</v>
      </c>
      <c r="R5" s="1" t="s">
        <v>44</v>
      </c>
      <c r="S5" s="1" t="s">
        <v>32</v>
      </c>
      <c r="T5" s="1" t="s">
        <v>34</v>
      </c>
      <c r="U5" s="1" t="s">
        <v>45</v>
      </c>
      <c r="V5" s="1" t="s">
        <v>46</v>
      </c>
    </row>
    <row r="6" spans="1:22" x14ac:dyDescent="0.25">
      <c r="A6" s="2" t="s">
        <v>48</v>
      </c>
      <c r="B6" s="1" t="s">
        <v>49</v>
      </c>
      <c r="C6" s="1">
        <v>2025</v>
      </c>
      <c r="D6" s="1">
        <v>9</v>
      </c>
      <c r="E6" s="1">
        <v>3</v>
      </c>
      <c r="F6" s="1" t="s">
        <v>50</v>
      </c>
      <c r="G6" s="1" t="s">
        <v>25</v>
      </c>
      <c r="H6" s="1" t="s">
        <v>51</v>
      </c>
      <c r="I6" s="1" t="s">
        <v>27</v>
      </c>
      <c r="J6" s="1">
        <v>5</v>
      </c>
      <c r="K6" s="1" t="s">
        <v>52</v>
      </c>
      <c r="L6" s="1" t="s">
        <v>29</v>
      </c>
      <c r="M6" s="1">
        <v>1</v>
      </c>
      <c r="N6" s="8">
        <v>1200</v>
      </c>
      <c r="O6" s="8">
        <v>1200</v>
      </c>
      <c r="P6" s="8">
        <v>40</v>
      </c>
      <c r="Q6" s="1" t="s">
        <v>53</v>
      </c>
      <c r="R6" s="1" t="s">
        <v>54</v>
      </c>
      <c r="S6" s="1" t="s">
        <v>55</v>
      </c>
      <c r="T6" s="1" t="s">
        <v>56</v>
      </c>
      <c r="U6" s="1" t="s">
        <v>57</v>
      </c>
      <c r="V6" s="1" t="s">
        <v>58</v>
      </c>
    </row>
    <row r="7" spans="1:22" x14ac:dyDescent="0.25">
      <c r="A7" s="2" t="s">
        <v>48</v>
      </c>
      <c r="B7" s="1" t="s">
        <v>49</v>
      </c>
      <c r="C7" s="1">
        <v>2025</v>
      </c>
      <c r="D7" s="1">
        <v>9</v>
      </c>
      <c r="E7" s="1">
        <v>3</v>
      </c>
      <c r="F7" s="1" t="s">
        <v>50</v>
      </c>
      <c r="G7" s="1" t="s">
        <v>25</v>
      </c>
      <c r="H7" s="1" t="s">
        <v>51</v>
      </c>
      <c r="I7" s="1" t="s">
        <v>27</v>
      </c>
      <c r="J7" s="1">
        <v>6</v>
      </c>
      <c r="K7" s="1" t="s">
        <v>59</v>
      </c>
      <c r="L7" s="1" t="s">
        <v>37</v>
      </c>
      <c r="M7" s="1">
        <v>1</v>
      </c>
      <c r="N7" s="8">
        <v>450</v>
      </c>
      <c r="O7" s="8">
        <v>450</v>
      </c>
      <c r="P7" s="8">
        <v>40</v>
      </c>
      <c r="Q7" s="1" t="s">
        <v>53</v>
      </c>
      <c r="R7" s="1" t="s">
        <v>54</v>
      </c>
      <c r="S7" s="1" t="s">
        <v>55</v>
      </c>
      <c r="T7" s="1" t="s">
        <v>56</v>
      </c>
      <c r="U7" s="1" t="s">
        <v>57</v>
      </c>
      <c r="V7" s="1" t="s">
        <v>58</v>
      </c>
    </row>
    <row r="8" spans="1:22" x14ac:dyDescent="0.25">
      <c r="A8" s="2" t="s">
        <v>60</v>
      </c>
      <c r="B8" s="1" t="s">
        <v>61</v>
      </c>
      <c r="C8" s="1">
        <v>2025</v>
      </c>
      <c r="D8" s="1">
        <v>9</v>
      </c>
      <c r="E8" s="1">
        <v>4</v>
      </c>
      <c r="F8" s="1" t="s">
        <v>62</v>
      </c>
      <c r="G8" s="1" t="s">
        <v>25</v>
      </c>
      <c r="H8" s="1" t="s">
        <v>63</v>
      </c>
      <c r="I8" s="1" t="s">
        <v>27</v>
      </c>
      <c r="J8" s="1">
        <v>7</v>
      </c>
      <c r="K8" s="1" t="s">
        <v>64</v>
      </c>
      <c r="L8" s="1" t="s">
        <v>65</v>
      </c>
      <c r="M8" s="1">
        <v>1</v>
      </c>
      <c r="N8" s="8">
        <v>1350</v>
      </c>
      <c r="O8" s="8">
        <v>1350</v>
      </c>
      <c r="P8" s="8">
        <v>0</v>
      </c>
      <c r="Q8" s="1" t="s">
        <v>66</v>
      </c>
      <c r="R8" s="1" t="s">
        <v>67</v>
      </c>
      <c r="S8" s="1" t="s">
        <v>57</v>
      </c>
      <c r="T8" s="1" t="s">
        <v>57</v>
      </c>
      <c r="U8" s="1" t="s">
        <v>57</v>
      </c>
      <c r="V8" s="1" t="s">
        <v>57</v>
      </c>
    </row>
    <row r="9" spans="1:22" x14ac:dyDescent="0.25">
      <c r="A9" s="2" t="s">
        <v>68</v>
      </c>
      <c r="B9" s="1" t="s">
        <v>69</v>
      </c>
      <c r="C9" s="1">
        <v>2025</v>
      </c>
      <c r="D9" s="1">
        <v>9</v>
      </c>
      <c r="E9" s="1">
        <v>5</v>
      </c>
      <c r="F9" s="1" t="s">
        <v>70</v>
      </c>
      <c r="G9" s="1" t="s">
        <v>71</v>
      </c>
      <c r="H9" s="1" t="s">
        <v>72</v>
      </c>
      <c r="I9" s="1" t="s">
        <v>73</v>
      </c>
      <c r="J9" s="1">
        <v>10</v>
      </c>
      <c r="K9" s="1" t="s">
        <v>74</v>
      </c>
      <c r="L9" s="1" t="s">
        <v>75</v>
      </c>
      <c r="M9" s="1">
        <v>1</v>
      </c>
      <c r="N9" s="8">
        <v>600</v>
      </c>
      <c r="O9" s="8">
        <v>600</v>
      </c>
      <c r="P9" s="8">
        <v>55</v>
      </c>
      <c r="Q9" s="1" t="s">
        <v>76</v>
      </c>
      <c r="R9" s="1" t="s">
        <v>77</v>
      </c>
      <c r="S9" s="1" t="s">
        <v>78</v>
      </c>
      <c r="T9" s="1" t="s">
        <v>57</v>
      </c>
      <c r="U9" s="1" t="s">
        <v>57</v>
      </c>
      <c r="V9" s="1" t="s">
        <v>79</v>
      </c>
    </row>
    <row r="10" spans="1:22" x14ac:dyDescent="0.25">
      <c r="A10" s="2" t="s">
        <v>68</v>
      </c>
      <c r="B10" s="1" t="s">
        <v>69</v>
      </c>
      <c r="C10" s="1">
        <v>2025</v>
      </c>
      <c r="D10" s="1">
        <v>9</v>
      </c>
      <c r="E10" s="1">
        <v>5</v>
      </c>
      <c r="F10" s="1" t="s">
        <v>70</v>
      </c>
      <c r="G10" s="1" t="s">
        <v>71</v>
      </c>
      <c r="H10" s="1" t="s">
        <v>72</v>
      </c>
      <c r="I10" s="1" t="s">
        <v>73</v>
      </c>
      <c r="J10" s="1">
        <v>14</v>
      </c>
      <c r="K10" s="1" t="s">
        <v>80</v>
      </c>
      <c r="L10" s="1" t="s">
        <v>81</v>
      </c>
      <c r="M10" s="1">
        <v>1</v>
      </c>
      <c r="N10" s="8">
        <v>700</v>
      </c>
      <c r="O10" s="8">
        <v>700</v>
      </c>
      <c r="P10" s="8">
        <v>55</v>
      </c>
      <c r="Q10" s="1" t="s">
        <v>76</v>
      </c>
      <c r="R10" s="1" t="s">
        <v>77</v>
      </c>
      <c r="S10" s="1" t="s">
        <v>78</v>
      </c>
      <c r="T10" s="1" t="s">
        <v>57</v>
      </c>
      <c r="U10" s="1" t="s">
        <v>57</v>
      </c>
      <c r="V10" s="1" t="s">
        <v>79</v>
      </c>
    </row>
    <row r="11" spans="1:22" x14ac:dyDescent="0.25">
      <c r="A11" s="2" t="s">
        <v>82</v>
      </c>
      <c r="B11" s="1" t="s">
        <v>83</v>
      </c>
      <c r="C11" s="1">
        <v>2025</v>
      </c>
      <c r="D11" s="1">
        <v>9</v>
      </c>
      <c r="E11" s="1">
        <v>6</v>
      </c>
      <c r="F11" s="1" t="s">
        <v>84</v>
      </c>
      <c r="G11" s="1" t="s">
        <v>71</v>
      </c>
      <c r="H11" s="1" t="s">
        <v>85</v>
      </c>
      <c r="I11" s="1" t="s">
        <v>73</v>
      </c>
      <c r="J11" s="1">
        <v>8</v>
      </c>
      <c r="K11" s="1" t="s">
        <v>86</v>
      </c>
      <c r="L11" s="1" t="s">
        <v>29</v>
      </c>
      <c r="M11" s="1">
        <v>1</v>
      </c>
      <c r="N11" s="8">
        <v>550</v>
      </c>
      <c r="O11" s="8">
        <v>550</v>
      </c>
      <c r="P11" s="8">
        <v>30</v>
      </c>
      <c r="Q11" s="1" t="s">
        <v>30</v>
      </c>
      <c r="R11" s="1" t="s">
        <v>54</v>
      </c>
      <c r="S11" s="1" t="s">
        <v>32</v>
      </c>
      <c r="T11" s="1" t="s">
        <v>87</v>
      </c>
      <c r="U11" s="1" t="s">
        <v>88</v>
      </c>
      <c r="V11" s="1" t="s">
        <v>89</v>
      </c>
    </row>
    <row r="12" spans="1:22" x14ac:dyDescent="0.25">
      <c r="A12" s="2" t="s">
        <v>82</v>
      </c>
      <c r="B12" s="1" t="s">
        <v>83</v>
      </c>
      <c r="C12" s="1">
        <v>2025</v>
      </c>
      <c r="D12" s="1">
        <v>9</v>
      </c>
      <c r="E12" s="1">
        <v>6</v>
      </c>
      <c r="F12" s="1" t="s">
        <v>84</v>
      </c>
      <c r="G12" s="1" t="s">
        <v>71</v>
      </c>
      <c r="H12" s="1" t="s">
        <v>85</v>
      </c>
      <c r="I12" s="1" t="s">
        <v>73</v>
      </c>
      <c r="J12" s="1">
        <v>12</v>
      </c>
      <c r="K12" s="1" t="s">
        <v>90</v>
      </c>
      <c r="L12" s="1" t="s">
        <v>91</v>
      </c>
      <c r="M12" s="1">
        <v>1</v>
      </c>
      <c r="N12" s="8">
        <v>500</v>
      </c>
      <c r="O12" s="8">
        <v>500</v>
      </c>
      <c r="P12" s="8">
        <v>30</v>
      </c>
      <c r="Q12" s="1" t="s">
        <v>30</v>
      </c>
      <c r="R12" s="1" t="s">
        <v>54</v>
      </c>
      <c r="S12" s="1" t="s">
        <v>32</v>
      </c>
      <c r="T12" s="1" t="s">
        <v>87</v>
      </c>
      <c r="U12" s="1" t="s">
        <v>88</v>
      </c>
      <c r="V12" s="1" t="s">
        <v>89</v>
      </c>
    </row>
    <row r="13" spans="1:22" x14ac:dyDescent="0.25">
      <c r="A13" s="2" t="s">
        <v>92</v>
      </c>
      <c r="B13" s="1" t="s">
        <v>93</v>
      </c>
      <c r="C13" s="1">
        <v>2025</v>
      </c>
      <c r="D13" s="1">
        <v>9</v>
      </c>
      <c r="E13" s="1">
        <v>7</v>
      </c>
      <c r="F13" s="1" t="s">
        <v>94</v>
      </c>
      <c r="G13" s="1" t="s">
        <v>71</v>
      </c>
      <c r="H13" s="1" t="s">
        <v>95</v>
      </c>
      <c r="I13" s="1" t="s">
        <v>96</v>
      </c>
      <c r="J13" s="1">
        <v>15</v>
      </c>
      <c r="K13" s="1" t="s">
        <v>97</v>
      </c>
      <c r="L13" s="1" t="s">
        <v>37</v>
      </c>
      <c r="M13" s="1">
        <v>1</v>
      </c>
      <c r="N13" s="8">
        <v>420</v>
      </c>
      <c r="O13" s="8">
        <v>420</v>
      </c>
      <c r="P13" s="8">
        <v>60</v>
      </c>
      <c r="Q13" s="1" t="s">
        <v>30</v>
      </c>
      <c r="R13" s="1" t="s">
        <v>44</v>
      </c>
      <c r="S13" s="1" t="s">
        <v>55</v>
      </c>
      <c r="T13" s="1" t="s">
        <v>88</v>
      </c>
      <c r="U13" s="1" t="s">
        <v>57</v>
      </c>
      <c r="V13" s="1" t="s">
        <v>98</v>
      </c>
    </row>
    <row r="14" spans="1:22" x14ac:dyDescent="0.25">
      <c r="A14" s="2" t="s">
        <v>92</v>
      </c>
      <c r="B14" s="1" t="s">
        <v>93</v>
      </c>
      <c r="C14" s="1">
        <v>2025</v>
      </c>
      <c r="D14" s="1">
        <v>9</v>
      </c>
      <c r="E14" s="1">
        <v>7</v>
      </c>
      <c r="F14" s="1" t="s">
        <v>94</v>
      </c>
      <c r="G14" s="1" t="s">
        <v>71</v>
      </c>
      <c r="H14" s="1" t="s">
        <v>95</v>
      </c>
      <c r="I14" s="1" t="s">
        <v>96</v>
      </c>
      <c r="J14" s="1">
        <v>9</v>
      </c>
      <c r="K14" s="1" t="s">
        <v>47</v>
      </c>
      <c r="L14" s="1" t="s">
        <v>37</v>
      </c>
      <c r="M14" s="1">
        <v>3</v>
      </c>
      <c r="N14" s="8">
        <v>80</v>
      </c>
      <c r="O14" s="8">
        <v>240</v>
      </c>
      <c r="P14" s="8">
        <v>60</v>
      </c>
      <c r="Q14" s="1" t="s">
        <v>30</v>
      </c>
      <c r="R14" s="1" t="s">
        <v>44</v>
      </c>
      <c r="S14" s="1" t="s">
        <v>55</v>
      </c>
      <c r="T14" s="1" t="s">
        <v>88</v>
      </c>
      <c r="U14" s="1" t="s">
        <v>57</v>
      </c>
      <c r="V14" s="1" t="s">
        <v>98</v>
      </c>
    </row>
    <row r="15" spans="1:22" x14ac:dyDescent="0.25">
      <c r="A15" s="2" t="s">
        <v>99</v>
      </c>
      <c r="B15" s="1" t="s">
        <v>100</v>
      </c>
      <c r="C15" s="1">
        <v>2025</v>
      </c>
      <c r="D15" s="1">
        <v>10</v>
      </c>
      <c r="E15" s="1">
        <v>8</v>
      </c>
      <c r="F15" s="1" t="s">
        <v>101</v>
      </c>
      <c r="G15" s="1" t="s">
        <v>25</v>
      </c>
      <c r="H15" s="1" t="s">
        <v>102</v>
      </c>
      <c r="I15" s="1" t="s">
        <v>103</v>
      </c>
      <c r="J15" s="1">
        <v>11</v>
      </c>
      <c r="K15" s="1" t="s">
        <v>104</v>
      </c>
      <c r="L15" s="1" t="s">
        <v>105</v>
      </c>
      <c r="M15" s="1">
        <v>2</v>
      </c>
      <c r="N15" s="8">
        <v>280</v>
      </c>
      <c r="O15" s="8">
        <v>560</v>
      </c>
      <c r="P15" s="8">
        <v>25</v>
      </c>
      <c r="Q15" s="1" t="s">
        <v>32</v>
      </c>
      <c r="R15" s="1" t="s">
        <v>31</v>
      </c>
      <c r="S15" s="1" t="s">
        <v>32</v>
      </c>
      <c r="T15" s="1" t="s">
        <v>106</v>
      </c>
      <c r="U15" s="1" t="s">
        <v>107</v>
      </c>
      <c r="V15" s="1" t="s">
        <v>108</v>
      </c>
    </row>
    <row r="16" spans="1:22" x14ac:dyDescent="0.25">
      <c r="A16" s="2" t="s">
        <v>99</v>
      </c>
      <c r="B16" s="1" t="s">
        <v>100</v>
      </c>
      <c r="C16" s="1">
        <v>2025</v>
      </c>
      <c r="D16" s="1">
        <v>10</v>
      </c>
      <c r="E16" s="1">
        <v>8</v>
      </c>
      <c r="F16" s="1" t="s">
        <v>101</v>
      </c>
      <c r="G16" s="1" t="s">
        <v>25</v>
      </c>
      <c r="H16" s="1" t="s">
        <v>102</v>
      </c>
      <c r="I16" s="1" t="s">
        <v>103</v>
      </c>
      <c r="J16" s="1">
        <v>13</v>
      </c>
      <c r="K16" s="1" t="s">
        <v>109</v>
      </c>
      <c r="L16" s="1" t="s">
        <v>110</v>
      </c>
      <c r="M16" s="1">
        <v>1</v>
      </c>
      <c r="N16" s="8">
        <v>1100</v>
      </c>
      <c r="O16" s="8">
        <v>1100</v>
      </c>
      <c r="P16" s="8">
        <v>25</v>
      </c>
      <c r="Q16" s="1" t="s">
        <v>32</v>
      </c>
      <c r="R16" s="1" t="s">
        <v>31</v>
      </c>
      <c r="S16" s="1" t="s">
        <v>32</v>
      </c>
      <c r="T16" s="1" t="s">
        <v>106</v>
      </c>
      <c r="U16" s="1" t="s">
        <v>107</v>
      </c>
      <c r="V16" s="1" t="s">
        <v>108</v>
      </c>
    </row>
    <row r="17" spans="1:22" x14ac:dyDescent="0.25">
      <c r="A17" s="2" t="s">
        <v>111</v>
      </c>
      <c r="B17" s="1" t="s">
        <v>112</v>
      </c>
      <c r="C17" s="1">
        <v>2025</v>
      </c>
      <c r="D17" s="1">
        <v>10</v>
      </c>
      <c r="E17" s="1">
        <v>9</v>
      </c>
      <c r="F17" s="1" t="s">
        <v>113</v>
      </c>
      <c r="G17" s="1" t="s">
        <v>25</v>
      </c>
      <c r="H17" s="1" t="s">
        <v>114</v>
      </c>
      <c r="I17" s="1" t="s">
        <v>103</v>
      </c>
      <c r="J17" s="1">
        <v>18</v>
      </c>
      <c r="K17" s="1" t="s">
        <v>115</v>
      </c>
      <c r="L17" s="1" t="s">
        <v>29</v>
      </c>
      <c r="M17" s="1">
        <v>1</v>
      </c>
      <c r="N17" s="8">
        <v>720</v>
      </c>
      <c r="O17" s="8">
        <v>720</v>
      </c>
      <c r="P17" s="8">
        <v>30</v>
      </c>
      <c r="Q17" s="1" t="s">
        <v>30</v>
      </c>
      <c r="R17" s="1" t="s">
        <v>67</v>
      </c>
      <c r="S17" s="1" t="s">
        <v>32</v>
      </c>
      <c r="T17" s="1" t="s">
        <v>107</v>
      </c>
      <c r="U17" s="1" t="s">
        <v>116</v>
      </c>
      <c r="V17" s="1" t="s">
        <v>117</v>
      </c>
    </row>
    <row r="18" spans="1:22" x14ac:dyDescent="0.25">
      <c r="A18" s="2" t="s">
        <v>111</v>
      </c>
      <c r="B18" s="1" t="s">
        <v>112</v>
      </c>
      <c r="C18" s="1">
        <v>2025</v>
      </c>
      <c r="D18" s="1">
        <v>10</v>
      </c>
      <c r="E18" s="1">
        <v>9</v>
      </c>
      <c r="F18" s="1" t="s">
        <v>113</v>
      </c>
      <c r="G18" s="1" t="s">
        <v>25</v>
      </c>
      <c r="H18" s="1" t="s">
        <v>114</v>
      </c>
      <c r="I18" s="1" t="s">
        <v>103</v>
      </c>
      <c r="J18" s="1">
        <v>19</v>
      </c>
      <c r="K18" s="1" t="s">
        <v>118</v>
      </c>
      <c r="L18" s="1" t="s">
        <v>37</v>
      </c>
      <c r="M18" s="1">
        <v>1</v>
      </c>
      <c r="N18" s="8">
        <v>180</v>
      </c>
      <c r="O18" s="8">
        <v>180</v>
      </c>
      <c r="P18" s="8">
        <v>30</v>
      </c>
      <c r="Q18" s="1" t="s">
        <v>30</v>
      </c>
      <c r="R18" s="1" t="s">
        <v>67</v>
      </c>
      <c r="S18" s="1" t="s">
        <v>32</v>
      </c>
      <c r="T18" s="1" t="s">
        <v>107</v>
      </c>
      <c r="U18" s="1" t="s">
        <v>116</v>
      </c>
      <c r="V18" s="1" t="s">
        <v>117</v>
      </c>
    </row>
    <row r="19" spans="1:22" x14ac:dyDescent="0.25">
      <c r="A19" s="2" t="s">
        <v>119</v>
      </c>
      <c r="B19" s="1" t="s">
        <v>120</v>
      </c>
      <c r="C19" s="1">
        <v>2025</v>
      </c>
      <c r="D19" s="1">
        <v>10</v>
      </c>
      <c r="E19" s="1">
        <v>10</v>
      </c>
      <c r="F19" s="1" t="s">
        <v>121</v>
      </c>
      <c r="G19" s="1" t="s">
        <v>25</v>
      </c>
      <c r="H19" s="1" t="s">
        <v>122</v>
      </c>
      <c r="I19" s="1" t="s">
        <v>27</v>
      </c>
      <c r="J19" s="1">
        <v>20</v>
      </c>
      <c r="K19" s="1" t="s">
        <v>123</v>
      </c>
      <c r="L19" s="1" t="s">
        <v>29</v>
      </c>
      <c r="M19" s="1">
        <v>1</v>
      </c>
      <c r="N19" s="8">
        <v>3400</v>
      </c>
      <c r="O19" s="8">
        <v>3400</v>
      </c>
      <c r="P19" s="8">
        <v>0</v>
      </c>
      <c r="Q19" s="1" t="s">
        <v>66</v>
      </c>
      <c r="R19" s="1" t="s">
        <v>77</v>
      </c>
      <c r="S19" s="1" t="s">
        <v>57</v>
      </c>
      <c r="T19" s="1" t="s">
        <v>57</v>
      </c>
      <c r="U19" s="1" t="s">
        <v>57</v>
      </c>
      <c r="V19" s="1" t="s">
        <v>57</v>
      </c>
    </row>
    <row r="20" spans="1:22" x14ac:dyDescent="0.25">
      <c r="A20" s="2" t="s">
        <v>124</v>
      </c>
      <c r="B20" s="1" t="s">
        <v>125</v>
      </c>
      <c r="C20" s="1">
        <v>2025</v>
      </c>
      <c r="D20" s="1">
        <v>10</v>
      </c>
      <c r="E20" s="1">
        <v>11</v>
      </c>
      <c r="F20" s="1" t="s">
        <v>126</v>
      </c>
      <c r="G20" s="1" t="s">
        <v>71</v>
      </c>
      <c r="H20" s="1" t="s">
        <v>72</v>
      </c>
      <c r="I20" s="1" t="s">
        <v>73</v>
      </c>
      <c r="J20" s="1">
        <v>4</v>
      </c>
      <c r="K20" s="1" t="s">
        <v>127</v>
      </c>
      <c r="L20" s="1" t="s">
        <v>37</v>
      </c>
      <c r="M20" s="1">
        <v>1</v>
      </c>
      <c r="N20" s="8">
        <v>320</v>
      </c>
      <c r="O20" s="8">
        <v>320</v>
      </c>
      <c r="P20" s="8">
        <v>35</v>
      </c>
      <c r="Q20" s="1" t="s">
        <v>30</v>
      </c>
      <c r="R20" s="1" t="s">
        <v>54</v>
      </c>
      <c r="S20" s="1" t="s">
        <v>78</v>
      </c>
      <c r="T20" s="1" t="s">
        <v>57</v>
      </c>
      <c r="U20" s="1" t="s">
        <v>57</v>
      </c>
      <c r="V20" s="1" t="s">
        <v>128</v>
      </c>
    </row>
    <row r="21" spans="1:22" x14ac:dyDescent="0.25">
      <c r="A21" s="2" t="s">
        <v>124</v>
      </c>
      <c r="B21" s="1" t="s">
        <v>125</v>
      </c>
      <c r="C21" s="1">
        <v>2025</v>
      </c>
      <c r="D21" s="1">
        <v>10</v>
      </c>
      <c r="E21" s="1">
        <v>11</v>
      </c>
      <c r="F21" s="1" t="s">
        <v>126</v>
      </c>
      <c r="G21" s="1" t="s">
        <v>71</v>
      </c>
      <c r="H21" s="1" t="s">
        <v>72</v>
      </c>
      <c r="I21" s="1" t="s">
        <v>73</v>
      </c>
      <c r="J21" s="1">
        <v>5</v>
      </c>
      <c r="K21" s="1" t="s">
        <v>52</v>
      </c>
      <c r="L21" s="1" t="s">
        <v>29</v>
      </c>
      <c r="M21" s="1">
        <v>1</v>
      </c>
      <c r="N21" s="8">
        <v>1200</v>
      </c>
      <c r="O21" s="8">
        <v>1200</v>
      </c>
      <c r="P21" s="8">
        <v>35</v>
      </c>
      <c r="Q21" s="1" t="s">
        <v>30</v>
      </c>
      <c r="R21" s="1" t="s">
        <v>54</v>
      </c>
      <c r="S21" s="1" t="s">
        <v>78</v>
      </c>
      <c r="T21" s="1" t="s">
        <v>57</v>
      </c>
      <c r="U21" s="1" t="s">
        <v>57</v>
      </c>
      <c r="V21" s="1" t="s">
        <v>128</v>
      </c>
    </row>
    <row r="22" spans="1:22" x14ac:dyDescent="0.25">
      <c r="A22" s="2" t="s">
        <v>129</v>
      </c>
      <c r="B22" s="1" t="s">
        <v>130</v>
      </c>
      <c r="C22" s="1">
        <v>2025</v>
      </c>
      <c r="D22" s="1">
        <v>10</v>
      </c>
      <c r="E22" s="1">
        <v>12</v>
      </c>
      <c r="F22" s="1" t="s">
        <v>131</v>
      </c>
      <c r="G22" s="1" t="s">
        <v>71</v>
      </c>
      <c r="H22" s="1" t="s">
        <v>132</v>
      </c>
      <c r="I22" s="1" t="s">
        <v>96</v>
      </c>
      <c r="J22" s="1">
        <v>17</v>
      </c>
      <c r="K22" s="1" t="s">
        <v>133</v>
      </c>
      <c r="L22" s="1" t="s">
        <v>105</v>
      </c>
      <c r="M22" s="1">
        <v>1</v>
      </c>
      <c r="N22" s="8">
        <v>480</v>
      </c>
      <c r="O22" s="8">
        <v>480</v>
      </c>
      <c r="P22" s="8">
        <v>20</v>
      </c>
      <c r="Q22" s="1" t="s">
        <v>32</v>
      </c>
      <c r="R22" s="1" t="s">
        <v>44</v>
      </c>
      <c r="S22" s="1" t="s">
        <v>32</v>
      </c>
      <c r="T22" s="1" t="s">
        <v>134</v>
      </c>
      <c r="U22" s="1" t="s">
        <v>135</v>
      </c>
      <c r="V22" s="1" t="s">
        <v>136</v>
      </c>
    </row>
    <row r="23" spans="1:22" x14ac:dyDescent="0.25">
      <c r="A23" s="2" t="s">
        <v>129</v>
      </c>
      <c r="B23" s="1" t="s">
        <v>130</v>
      </c>
      <c r="C23" s="1">
        <v>2025</v>
      </c>
      <c r="D23" s="1">
        <v>10</v>
      </c>
      <c r="E23" s="1">
        <v>12</v>
      </c>
      <c r="F23" s="1" t="s">
        <v>131</v>
      </c>
      <c r="G23" s="1" t="s">
        <v>71</v>
      </c>
      <c r="H23" s="1" t="s">
        <v>132</v>
      </c>
      <c r="I23" s="1" t="s">
        <v>96</v>
      </c>
      <c r="J23" s="1">
        <v>23</v>
      </c>
      <c r="K23" s="1" t="s">
        <v>137</v>
      </c>
      <c r="L23" s="1" t="s">
        <v>75</v>
      </c>
      <c r="M23" s="1">
        <v>1</v>
      </c>
      <c r="N23" s="8">
        <v>390</v>
      </c>
      <c r="O23" s="8">
        <v>390</v>
      </c>
      <c r="P23" s="8">
        <v>20</v>
      </c>
      <c r="Q23" s="1" t="s">
        <v>32</v>
      </c>
      <c r="R23" s="1" t="s">
        <v>44</v>
      </c>
      <c r="S23" s="1" t="s">
        <v>32</v>
      </c>
      <c r="T23" s="1" t="s">
        <v>134</v>
      </c>
      <c r="U23" s="1" t="s">
        <v>135</v>
      </c>
      <c r="V23" s="1" t="s">
        <v>136</v>
      </c>
    </row>
    <row r="24" spans="1:22" x14ac:dyDescent="0.25">
      <c r="A24" s="2" t="s">
        <v>138</v>
      </c>
      <c r="B24" s="1" t="s">
        <v>139</v>
      </c>
      <c r="C24" s="1">
        <v>2025</v>
      </c>
      <c r="D24" s="1">
        <v>10</v>
      </c>
      <c r="E24" s="1">
        <v>1</v>
      </c>
      <c r="F24" s="1" t="s">
        <v>24</v>
      </c>
      <c r="G24" s="1" t="s">
        <v>25</v>
      </c>
      <c r="H24" s="1" t="s">
        <v>26</v>
      </c>
      <c r="I24" s="1" t="s">
        <v>27</v>
      </c>
      <c r="J24" s="1">
        <v>2</v>
      </c>
      <c r="K24" s="1" t="s">
        <v>42</v>
      </c>
      <c r="L24" s="1" t="s">
        <v>43</v>
      </c>
      <c r="M24" s="1">
        <v>1</v>
      </c>
      <c r="N24" s="8">
        <v>3600</v>
      </c>
      <c r="O24" s="8">
        <v>3600</v>
      </c>
      <c r="P24" s="8">
        <v>25</v>
      </c>
      <c r="Q24" s="1" t="s">
        <v>30</v>
      </c>
      <c r="R24" s="1" t="s">
        <v>67</v>
      </c>
      <c r="S24" s="1" t="s">
        <v>55</v>
      </c>
      <c r="T24" s="1" t="s">
        <v>135</v>
      </c>
      <c r="U24" s="1" t="s">
        <v>57</v>
      </c>
      <c r="V24" s="1" t="s">
        <v>140</v>
      </c>
    </row>
    <row r="25" spans="1:22" x14ac:dyDescent="0.25">
      <c r="A25" s="2" t="s">
        <v>141</v>
      </c>
      <c r="B25" s="1" t="s">
        <v>142</v>
      </c>
      <c r="C25" s="1">
        <v>2025</v>
      </c>
      <c r="D25" s="1">
        <v>10</v>
      </c>
      <c r="E25" s="1">
        <v>3</v>
      </c>
      <c r="F25" s="1" t="s">
        <v>50</v>
      </c>
      <c r="G25" s="1" t="s">
        <v>25</v>
      </c>
      <c r="H25" s="1" t="s">
        <v>51</v>
      </c>
      <c r="I25" s="1" t="s">
        <v>27</v>
      </c>
      <c r="J25" s="1">
        <v>21</v>
      </c>
      <c r="K25" s="1" t="s">
        <v>143</v>
      </c>
      <c r="L25" s="1" t="s">
        <v>37</v>
      </c>
      <c r="M25" s="1">
        <v>1</v>
      </c>
      <c r="N25" s="8">
        <v>210</v>
      </c>
      <c r="O25" s="8">
        <v>210</v>
      </c>
      <c r="P25" s="8">
        <v>40</v>
      </c>
      <c r="Q25" s="1" t="s">
        <v>53</v>
      </c>
      <c r="R25" s="1" t="s">
        <v>77</v>
      </c>
      <c r="S25" s="1" t="s">
        <v>78</v>
      </c>
      <c r="T25" s="1" t="s">
        <v>57</v>
      </c>
      <c r="U25" s="1" t="s">
        <v>57</v>
      </c>
      <c r="V25" s="1" t="s">
        <v>144</v>
      </c>
    </row>
    <row r="26" spans="1:22" x14ac:dyDescent="0.25">
      <c r="A26" s="2" t="s">
        <v>141</v>
      </c>
      <c r="B26" s="1" t="s">
        <v>142</v>
      </c>
      <c r="C26" s="1">
        <v>2025</v>
      </c>
      <c r="D26" s="1">
        <v>10</v>
      </c>
      <c r="E26" s="1">
        <v>3</v>
      </c>
      <c r="F26" s="1" t="s">
        <v>50</v>
      </c>
      <c r="G26" s="1" t="s">
        <v>25</v>
      </c>
      <c r="H26" s="1" t="s">
        <v>51</v>
      </c>
      <c r="I26" s="1" t="s">
        <v>27</v>
      </c>
      <c r="J26" s="1">
        <v>22</v>
      </c>
      <c r="K26" s="1" t="s">
        <v>145</v>
      </c>
      <c r="L26" s="1" t="s">
        <v>37</v>
      </c>
      <c r="M26" s="1">
        <v>1</v>
      </c>
      <c r="N26" s="8">
        <v>140</v>
      </c>
      <c r="O26" s="8">
        <v>140</v>
      </c>
      <c r="P26" s="8">
        <v>40</v>
      </c>
      <c r="Q26" s="1" t="s">
        <v>53</v>
      </c>
      <c r="R26" s="1" t="s">
        <v>77</v>
      </c>
      <c r="S26" s="1" t="s">
        <v>78</v>
      </c>
      <c r="T26" s="1" t="s">
        <v>57</v>
      </c>
      <c r="U26" s="1" t="s">
        <v>57</v>
      </c>
      <c r="V26" s="1" t="s">
        <v>144</v>
      </c>
    </row>
    <row r="27" spans="1:22" x14ac:dyDescent="0.25">
      <c r="A27" s="2" t="s">
        <v>146</v>
      </c>
      <c r="B27" s="1" t="s">
        <v>147</v>
      </c>
      <c r="C27" s="1">
        <v>2025</v>
      </c>
      <c r="D27" s="1">
        <v>10</v>
      </c>
      <c r="E27" s="1">
        <v>2</v>
      </c>
      <c r="F27" s="1" t="s">
        <v>40</v>
      </c>
      <c r="G27" s="1" t="s">
        <v>25</v>
      </c>
      <c r="H27" s="1" t="s">
        <v>41</v>
      </c>
      <c r="I27" s="1" t="s">
        <v>27</v>
      </c>
      <c r="J27" s="1">
        <v>3</v>
      </c>
      <c r="K27" s="1" t="s">
        <v>36</v>
      </c>
      <c r="L27" s="1" t="s">
        <v>37</v>
      </c>
      <c r="M27" s="1">
        <v>2</v>
      </c>
      <c r="N27" s="8">
        <v>250</v>
      </c>
      <c r="O27" s="8">
        <v>500</v>
      </c>
      <c r="P27" s="8">
        <v>35</v>
      </c>
      <c r="Q27" s="1" t="s">
        <v>30</v>
      </c>
      <c r="R27" s="1" t="s">
        <v>44</v>
      </c>
      <c r="S27" s="1" t="s">
        <v>32</v>
      </c>
      <c r="T27" s="1" t="s">
        <v>148</v>
      </c>
      <c r="U27" s="1" t="s">
        <v>149</v>
      </c>
      <c r="V27" s="1" t="s">
        <v>150</v>
      </c>
    </row>
    <row r="28" spans="1:22" x14ac:dyDescent="0.25">
      <c r="A28" s="2" t="s">
        <v>146</v>
      </c>
      <c r="B28" s="1" t="s">
        <v>147</v>
      </c>
      <c r="C28" s="1">
        <v>2025</v>
      </c>
      <c r="D28" s="1">
        <v>10</v>
      </c>
      <c r="E28" s="1">
        <v>2</v>
      </c>
      <c r="F28" s="1" t="s">
        <v>40</v>
      </c>
      <c r="G28" s="1" t="s">
        <v>25</v>
      </c>
      <c r="H28" s="1" t="s">
        <v>41</v>
      </c>
      <c r="I28" s="1" t="s">
        <v>27</v>
      </c>
      <c r="J28" s="1">
        <v>18</v>
      </c>
      <c r="K28" s="1" t="s">
        <v>115</v>
      </c>
      <c r="L28" s="1" t="s">
        <v>29</v>
      </c>
      <c r="M28" s="1">
        <v>1</v>
      </c>
      <c r="N28" s="8">
        <v>720</v>
      </c>
      <c r="O28" s="8">
        <v>720</v>
      </c>
      <c r="P28" s="8">
        <v>35</v>
      </c>
      <c r="Q28" s="1" t="s">
        <v>30</v>
      </c>
      <c r="R28" s="1" t="s">
        <v>44</v>
      </c>
      <c r="S28" s="1" t="s">
        <v>32</v>
      </c>
      <c r="T28" s="1" t="s">
        <v>148</v>
      </c>
      <c r="U28" s="1" t="s">
        <v>149</v>
      </c>
      <c r="V28" s="1" t="s">
        <v>150</v>
      </c>
    </row>
    <row r="29" spans="1:22" x14ac:dyDescent="0.25">
      <c r="A29" s="2" t="s">
        <v>151</v>
      </c>
      <c r="B29" s="1" t="s">
        <v>152</v>
      </c>
      <c r="C29" s="1">
        <v>2025</v>
      </c>
      <c r="D29" s="1">
        <v>10</v>
      </c>
      <c r="E29" s="1">
        <v>8</v>
      </c>
      <c r="F29" s="1" t="s">
        <v>101</v>
      </c>
      <c r="G29" s="1" t="s">
        <v>25</v>
      </c>
      <c r="H29" s="1" t="s">
        <v>102</v>
      </c>
      <c r="I29" s="1" t="s">
        <v>103</v>
      </c>
      <c r="J29" s="1">
        <v>6</v>
      </c>
      <c r="K29" s="1" t="s">
        <v>59</v>
      </c>
      <c r="L29" s="1" t="s">
        <v>37</v>
      </c>
      <c r="M29" s="1">
        <v>1</v>
      </c>
      <c r="N29" s="8">
        <v>450</v>
      </c>
      <c r="O29" s="8">
        <v>450</v>
      </c>
      <c r="P29" s="8">
        <v>50</v>
      </c>
      <c r="Q29" s="1" t="s">
        <v>76</v>
      </c>
      <c r="R29" s="1" t="s">
        <v>31</v>
      </c>
      <c r="S29" s="1" t="s">
        <v>78</v>
      </c>
      <c r="T29" s="1" t="s">
        <v>57</v>
      </c>
      <c r="U29" s="1" t="s">
        <v>57</v>
      </c>
      <c r="V29" s="1" t="s">
        <v>153</v>
      </c>
    </row>
    <row r="30" spans="1:22" x14ac:dyDescent="0.25">
      <c r="A30" s="2" t="s">
        <v>151</v>
      </c>
      <c r="B30" s="1" t="s">
        <v>152</v>
      </c>
      <c r="C30" s="1">
        <v>2025</v>
      </c>
      <c r="D30" s="1">
        <v>10</v>
      </c>
      <c r="E30" s="1">
        <v>8</v>
      </c>
      <c r="F30" s="1" t="s">
        <v>101</v>
      </c>
      <c r="G30" s="1" t="s">
        <v>25</v>
      </c>
      <c r="H30" s="1" t="s">
        <v>102</v>
      </c>
      <c r="I30" s="1" t="s">
        <v>103</v>
      </c>
      <c r="J30" s="1">
        <v>9</v>
      </c>
      <c r="K30" s="1" t="s">
        <v>47</v>
      </c>
      <c r="L30" s="1" t="s">
        <v>37</v>
      </c>
      <c r="M30" s="1">
        <v>5</v>
      </c>
      <c r="N30" s="8">
        <v>80</v>
      </c>
      <c r="O30" s="8">
        <v>400</v>
      </c>
      <c r="P30" s="8">
        <v>50</v>
      </c>
      <c r="Q30" s="1" t="s">
        <v>76</v>
      </c>
      <c r="R30" s="1" t="s">
        <v>31</v>
      </c>
      <c r="S30" s="1" t="s">
        <v>78</v>
      </c>
      <c r="T30" s="1" t="s">
        <v>57</v>
      </c>
      <c r="U30" s="1" t="s">
        <v>57</v>
      </c>
      <c r="V30" s="1" t="s">
        <v>153</v>
      </c>
    </row>
    <row r="31" spans="1:22" x14ac:dyDescent="0.25">
      <c r="A31" s="2" t="s">
        <v>154</v>
      </c>
      <c r="B31" s="1" t="s">
        <v>155</v>
      </c>
      <c r="C31" s="1">
        <v>2025</v>
      </c>
      <c r="D31" s="1">
        <v>10</v>
      </c>
      <c r="E31" s="1">
        <v>9</v>
      </c>
      <c r="F31" s="1" t="s">
        <v>113</v>
      </c>
      <c r="G31" s="1" t="s">
        <v>25</v>
      </c>
      <c r="H31" s="1" t="s">
        <v>114</v>
      </c>
      <c r="I31" s="1" t="s">
        <v>103</v>
      </c>
      <c r="J31" s="1">
        <v>10</v>
      </c>
      <c r="K31" s="1" t="s">
        <v>74</v>
      </c>
      <c r="L31" s="1" t="s">
        <v>75</v>
      </c>
      <c r="M31" s="1">
        <v>1</v>
      </c>
      <c r="N31" s="8">
        <v>600</v>
      </c>
      <c r="O31" s="8">
        <v>600</v>
      </c>
      <c r="P31" s="8">
        <v>30</v>
      </c>
      <c r="Q31" s="1" t="s">
        <v>30</v>
      </c>
      <c r="R31" s="1" t="s">
        <v>54</v>
      </c>
      <c r="S31" s="1" t="s">
        <v>32</v>
      </c>
      <c r="T31" s="1" t="s">
        <v>156</v>
      </c>
      <c r="U31" s="1" t="s">
        <v>157</v>
      </c>
      <c r="V31" s="1" t="s">
        <v>158</v>
      </c>
    </row>
    <row r="32" spans="1:22" x14ac:dyDescent="0.25">
      <c r="A32" s="2" t="s">
        <v>154</v>
      </c>
      <c r="B32" s="1" t="s">
        <v>155</v>
      </c>
      <c r="C32" s="1">
        <v>2025</v>
      </c>
      <c r="D32" s="1">
        <v>10</v>
      </c>
      <c r="E32" s="1">
        <v>9</v>
      </c>
      <c r="F32" s="1" t="s">
        <v>113</v>
      </c>
      <c r="G32" s="1" t="s">
        <v>25</v>
      </c>
      <c r="H32" s="1" t="s">
        <v>114</v>
      </c>
      <c r="I32" s="1" t="s">
        <v>103</v>
      </c>
      <c r="J32" s="1">
        <v>14</v>
      </c>
      <c r="K32" s="1" t="s">
        <v>80</v>
      </c>
      <c r="L32" s="1" t="s">
        <v>81</v>
      </c>
      <c r="M32" s="1">
        <v>1</v>
      </c>
      <c r="N32" s="8">
        <v>700</v>
      </c>
      <c r="O32" s="8">
        <v>700</v>
      </c>
      <c r="P32" s="8">
        <v>30</v>
      </c>
      <c r="Q32" s="1" t="s">
        <v>30</v>
      </c>
      <c r="R32" s="1" t="s">
        <v>54</v>
      </c>
      <c r="S32" s="1" t="s">
        <v>32</v>
      </c>
      <c r="T32" s="1" t="s">
        <v>156</v>
      </c>
      <c r="U32" s="1" t="s">
        <v>157</v>
      </c>
      <c r="V32" s="1" t="s">
        <v>158</v>
      </c>
    </row>
    <row r="33" spans="1:22" x14ac:dyDescent="0.25">
      <c r="A33" s="2" t="s">
        <v>159</v>
      </c>
      <c r="B33" s="1" t="s">
        <v>160</v>
      </c>
      <c r="C33" s="1">
        <v>2025</v>
      </c>
      <c r="D33" s="1">
        <v>10</v>
      </c>
      <c r="E33" s="1">
        <v>10</v>
      </c>
      <c r="F33" s="1" t="s">
        <v>121</v>
      </c>
      <c r="G33" s="1" t="s">
        <v>25</v>
      </c>
      <c r="H33" s="1" t="s">
        <v>122</v>
      </c>
      <c r="I33" s="1" t="s">
        <v>27</v>
      </c>
      <c r="J33" s="1">
        <v>24</v>
      </c>
      <c r="K33" s="1" t="s">
        <v>161</v>
      </c>
      <c r="L33" s="1" t="s">
        <v>75</v>
      </c>
      <c r="M33" s="1">
        <v>1</v>
      </c>
      <c r="N33" s="8">
        <v>980</v>
      </c>
      <c r="O33" s="8">
        <v>980</v>
      </c>
      <c r="P33" s="8">
        <v>25</v>
      </c>
      <c r="Q33" s="1" t="s">
        <v>32</v>
      </c>
      <c r="R33" s="1" t="s">
        <v>44</v>
      </c>
      <c r="S33" s="1" t="s">
        <v>32</v>
      </c>
      <c r="T33" s="1" t="s">
        <v>162</v>
      </c>
      <c r="U33" s="1" t="s">
        <v>163</v>
      </c>
      <c r="V33" s="1" t="s">
        <v>164</v>
      </c>
    </row>
    <row r="34" spans="1:22" x14ac:dyDescent="0.25">
      <c r="A34" s="2" t="s">
        <v>159</v>
      </c>
      <c r="B34" s="1" t="s">
        <v>160</v>
      </c>
      <c r="C34" s="1">
        <v>2025</v>
      </c>
      <c r="D34" s="1">
        <v>10</v>
      </c>
      <c r="E34" s="1">
        <v>10</v>
      </c>
      <c r="F34" s="1" t="s">
        <v>121</v>
      </c>
      <c r="G34" s="1" t="s">
        <v>25</v>
      </c>
      <c r="H34" s="1" t="s">
        <v>122</v>
      </c>
      <c r="I34" s="1" t="s">
        <v>27</v>
      </c>
      <c r="J34" s="1">
        <v>25</v>
      </c>
      <c r="K34" s="1" t="s">
        <v>165</v>
      </c>
      <c r="L34" s="1" t="s">
        <v>166</v>
      </c>
      <c r="M34" s="1">
        <v>1</v>
      </c>
      <c r="N34" s="8">
        <v>2500</v>
      </c>
      <c r="O34" s="8">
        <v>2500</v>
      </c>
      <c r="P34" s="8">
        <v>25</v>
      </c>
      <c r="Q34" s="1" t="s">
        <v>32</v>
      </c>
      <c r="R34" s="1" t="s">
        <v>44</v>
      </c>
      <c r="S34" s="1" t="s">
        <v>32</v>
      </c>
      <c r="T34" s="1" t="s">
        <v>162</v>
      </c>
      <c r="U34" s="1" t="s">
        <v>163</v>
      </c>
      <c r="V34" s="1" t="s">
        <v>164</v>
      </c>
    </row>
    <row r="35" spans="1:22" x14ac:dyDescent="0.25">
      <c r="A35" s="2" t="s">
        <v>167</v>
      </c>
      <c r="B35" s="1" t="s">
        <v>168</v>
      </c>
      <c r="C35" s="1">
        <v>2025</v>
      </c>
      <c r="D35" s="1">
        <v>10</v>
      </c>
      <c r="E35" s="1">
        <v>11</v>
      </c>
      <c r="F35" s="1" t="s">
        <v>126</v>
      </c>
      <c r="G35" s="1" t="s">
        <v>71</v>
      </c>
      <c r="H35" s="1" t="s">
        <v>72</v>
      </c>
      <c r="I35" s="1" t="s">
        <v>73</v>
      </c>
      <c r="J35" s="1">
        <v>1</v>
      </c>
      <c r="K35" s="1" t="s">
        <v>28</v>
      </c>
      <c r="L35" s="1" t="s">
        <v>29</v>
      </c>
      <c r="M35" s="1">
        <v>1</v>
      </c>
      <c r="N35" s="8">
        <v>4800</v>
      </c>
      <c r="O35" s="8">
        <v>4800</v>
      </c>
      <c r="P35" s="8">
        <v>40</v>
      </c>
      <c r="Q35" s="1" t="s">
        <v>30</v>
      </c>
      <c r="R35" s="1" t="s">
        <v>31</v>
      </c>
      <c r="S35" s="1" t="s">
        <v>55</v>
      </c>
      <c r="T35" s="1" t="s">
        <v>169</v>
      </c>
      <c r="U35" s="1" t="s">
        <v>57</v>
      </c>
      <c r="V35" s="1" t="s">
        <v>170</v>
      </c>
    </row>
    <row r="36" spans="1:22" x14ac:dyDescent="0.25">
      <c r="A36" s="2" t="s">
        <v>167</v>
      </c>
      <c r="B36" s="1" t="s">
        <v>168</v>
      </c>
      <c r="C36" s="1">
        <v>2025</v>
      </c>
      <c r="D36" s="1">
        <v>10</v>
      </c>
      <c r="E36" s="1">
        <v>11</v>
      </c>
      <c r="F36" s="1" t="s">
        <v>126</v>
      </c>
      <c r="G36" s="1" t="s">
        <v>71</v>
      </c>
      <c r="H36" s="1" t="s">
        <v>72</v>
      </c>
      <c r="I36" s="1" t="s">
        <v>73</v>
      </c>
      <c r="J36" s="1">
        <v>7</v>
      </c>
      <c r="K36" s="1" t="s">
        <v>64</v>
      </c>
      <c r="L36" s="1" t="s">
        <v>65</v>
      </c>
      <c r="M36" s="1">
        <v>1</v>
      </c>
      <c r="N36" s="8">
        <v>1350</v>
      </c>
      <c r="O36" s="8">
        <v>1350</v>
      </c>
      <c r="P36" s="8">
        <v>40</v>
      </c>
      <c r="Q36" s="1" t="s">
        <v>30</v>
      </c>
      <c r="R36" s="1" t="s">
        <v>31</v>
      </c>
      <c r="S36" s="1" t="s">
        <v>55</v>
      </c>
      <c r="T36" s="1" t="s">
        <v>169</v>
      </c>
      <c r="U36" s="1" t="s">
        <v>57</v>
      </c>
      <c r="V36" s="1" t="s">
        <v>170</v>
      </c>
    </row>
    <row r="37" spans="1:22" x14ac:dyDescent="0.25">
      <c r="A37" s="2" t="s">
        <v>171</v>
      </c>
      <c r="B37" s="1" t="s">
        <v>172</v>
      </c>
      <c r="C37" s="1">
        <v>2025</v>
      </c>
      <c r="D37" s="1">
        <v>10</v>
      </c>
      <c r="E37" s="1">
        <v>12</v>
      </c>
      <c r="F37" s="1" t="s">
        <v>131</v>
      </c>
      <c r="G37" s="1" t="s">
        <v>71</v>
      </c>
      <c r="H37" s="1" t="s">
        <v>132</v>
      </c>
      <c r="I37" s="1" t="s">
        <v>96</v>
      </c>
      <c r="J37" s="1">
        <v>11</v>
      </c>
      <c r="K37" s="1" t="s">
        <v>104</v>
      </c>
      <c r="L37" s="1" t="s">
        <v>105</v>
      </c>
      <c r="M37" s="1">
        <v>1</v>
      </c>
      <c r="N37" s="8">
        <v>280</v>
      </c>
      <c r="O37" s="8">
        <v>280</v>
      </c>
      <c r="P37" s="8">
        <v>45</v>
      </c>
      <c r="Q37" s="1" t="s">
        <v>76</v>
      </c>
      <c r="R37" s="1" t="s">
        <v>77</v>
      </c>
      <c r="S37" s="1" t="s">
        <v>78</v>
      </c>
      <c r="T37" s="1" t="s">
        <v>57</v>
      </c>
      <c r="U37" s="1" t="s">
        <v>57</v>
      </c>
      <c r="V37" s="1" t="s">
        <v>173</v>
      </c>
    </row>
    <row r="38" spans="1:22" x14ac:dyDescent="0.25">
      <c r="A38" s="2" t="s">
        <v>171</v>
      </c>
      <c r="B38" s="1" t="s">
        <v>172</v>
      </c>
      <c r="C38" s="1">
        <v>2025</v>
      </c>
      <c r="D38" s="1">
        <v>10</v>
      </c>
      <c r="E38" s="1">
        <v>12</v>
      </c>
      <c r="F38" s="1" t="s">
        <v>131</v>
      </c>
      <c r="G38" s="1" t="s">
        <v>71</v>
      </c>
      <c r="H38" s="1" t="s">
        <v>132</v>
      </c>
      <c r="I38" s="1" t="s">
        <v>96</v>
      </c>
      <c r="J38" s="1">
        <v>13</v>
      </c>
      <c r="K38" s="1" t="s">
        <v>109</v>
      </c>
      <c r="L38" s="1" t="s">
        <v>110</v>
      </c>
      <c r="M38" s="1">
        <v>1</v>
      </c>
      <c r="N38" s="8">
        <v>1100</v>
      </c>
      <c r="O38" s="8">
        <v>1100</v>
      </c>
      <c r="P38" s="8">
        <v>45</v>
      </c>
      <c r="Q38" s="1" t="s">
        <v>76</v>
      </c>
      <c r="R38" s="1" t="s">
        <v>77</v>
      </c>
      <c r="S38" s="1" t="s">
        <v>78</v>
      </c>
      <c r="T38" s="1" t="s">
        <v>57</v>
      </c>
      <c r="U38" s="1" t="s">
        <v>57</v>
      </c>
      <c r="V38" s="1" t="s">
        <v>173</v>
      </c>
    </row>
    <row r="39" spans="1:22" x14ac:dyDescent="0.25">
      <c r="A39" s="2" t="s">
        <v>174</v>
      </c>
      <c r="B39" s="1" t="s">
        <v>175</v>
      </c>
      <c r="C39" s="1">
        <v>2025</v>
      </c>
      <c r="D39" s="1">
        <v>10</v>
      </c>
      <c r="E39" s="1">
        <v>5</v>
      </c>
      <c r="F39" s="1" t="s">
        <v>70</v>
      </c>
      <c r="G39" s="1" t="s">
        <v>71</v>
      </c>
      <c r="H39" s="1" t="s">
        <v>72</v>
      </c>
      <c r="I39" s="1" t="s">
        <v>73</v>
      </c>
      <c r="J39" s="1">
        <v>8</v>
      </c>
      <c r="K39" s="1" t="s">
        <v>86</v>
      </c>
      <c r="L39" s="1" t="s">
        <v>29</v>
      </c>
      <c r="M39" s="1">
        <v>2</v>
      </c>
      <c r="N39" s="8">
        <v>550</v>
      </c>
      <c r="O39" s="8">
        <v>1100</v>
      </c>
      <c r="P39" s="8">
        <v>30</v>
      </c>
      <c r="Q39" s="1" t="s">
        <v>32</v>
      </c>
      <c r="R39" s="1" t="s">
        <v>31</v>
      </c>
      <c r="S39" s="1" t="s">
        <v>32</v>
      </c>
      <c r="T39" s="1" t="s">
        <v>176</v>
      </c>
      <c r="U39" s="1" t="s">
        <v>177</v>
      </c>
      <c r="V39" s="1" t="s">
        <v>178</v>
      </c>
    </row>
    <row r="40" spans="1:22" x14ac:dyDescent="0.25">
      <c r="A40" s="2" t="s">
        <v>179</v>
      </c>
      <c r="B40" s="1" t="s">
        <v>180</v>
      </c>
      <c r="C40" s="1">
        <v>2025</v>
      </c>
      <c r="D40" s="1">
        <v>10</v>
      </c>
      <c r="E40" s="1">
        <v>6</v>
      </c>
      <c r="F40" s="1" t="s">
        <v>84</v>
      </c>
      <c r="G40" s="1" t="s">
        <v>71</v>
      </c>
      <c r="H40" s="1" t="s">
        <v>85</v>
      </c>
      <c r="I40" s="1" t="s">
        <v>73</v>
      </c>
      <c r="J40" s="1">
        <v>12</v>
      </c>
      <c r="K40" s="1" t="s">
        <v>90</v>
      </c>
      <c r="L40" s="1" t="s">
        <v>91</v>
      </c>
      <c r="M40" s="1">
        <v>1</v>
      </c>
      <c r="N40" s="8">
        <v>500</v>
      </c>
      <c r="O40" s="8">
        <v>500</v>
      </c>
      <c r="P40" s="8">
        <v>30</v>
      </c>
      <c r="Q40" s="1" t="s">
        <v>30</v>
      </c>
      <c r="R40" s="1" t="s">
        <v>54</v>
      </c>
      <c r="S40" s="1" t="s">
        <v>32</v>
      </c>
      <c r="T40" s="1" t="s">
        <v>176</v>
      </c>
      <c r="U40" s="1" t="s">
        <v>177</v>
      </c>
      <c r="V40" s="1" t="s">
        <v>181</v>
      </c>
    </row>
    <row r="41" spans="1:22" x14ac:dyDescent="0.25">
      <c r="A41" s="2" t="s">
        <v>179</v>
      </c>
      <c r="B41" s="1" t="s">
        <v>180</v>
      </c>
      <c r="C41" s="1">
        <v>2025</v>
      </c>
      <c r="D41" s="1">
        <v>10</v>
      </c>
      <c r="E41" s="1">
        <v>6</v>
      </c>
      <c r="F41" s="1" t="s">
        <v>84</v>
      </c>
      <c r="G41" s="1" t="s">
        <v>71</v>
      </c>
      <c r="H41" s="1" t="s">
        <v>85</v>
      </c>
      <c r="I41" s="1" t="s">
        <v>73</v>
      </c>
      <c r="J41" s="1">
        <v>15</v>
      </c>
      <c r="K41" s="1" t="s">
        <v>97</v>
      </c>
      <c r="L41" s="1" t="s">
        <v>37</v>
      </c>
      <c r="M41" s="1">
        <v>1</v>
      </c>
      <c r="N41" s="8">
        <v>420</v>
      </c>
      <c r="O41" s="8">
        <v>420</v>
      </c>
      <c r="P41" s="8">
        <v>30</v>
      </c>
      <c r="Q41" s="1" t="s">
        <v>30</v>
      </c>
      <c r="R41" s="1" t="s">
        <v>54</v>
      </c>
      <c r="S41" s="1" t="s">
        <v>32</v>
      </c>
      <c r="T41" s="1" t="s">
        <v>176</v>
      </c>
      <c r="U41" s="1" t="s">
        <v>177</v>
      </c>
      <c r="V41" s="1" t="s">
        <v>181</v>
      </c>
    </row>
    <row r="42" spans="1:22" x14ac:dyDescent="0.25">
      <c r="A42" s="2" t="s">
        <v>182</v>
      </c>
      <c r="B42" s="1" t="s">
        <v>183</v>
      </c>
      <c r="C42" s="1">
        <v>2025</v>
      </c>
      <c r="D42" s="1">
        <v>10</v>
      </c>
      <c r="E42" s="1">
        <v>7</v>
      </c>
      <c r="F42" s="1" t="s">
        <v>94</v>
      </c>
      <c r="G42" s="1" t="s">
        <v>71</v>
      </c>
      <c r="H42" s="1" t="s">
        <v>95</v>
      </c>
      <c r="I42" s="1" t="s">
        <v>96</v>
      </c>
      <c r="J42" s="1">
        <v>19</v>
      </c>
      <c r="K42" s="1" t="s">
        <v>118</v>
      </c>
      <c r="L42" s="1" t="s">
        <v>37</v>
      </c>
      <c r="M42" s="1">
        <v>1</v>
      </c>
      <c r="N42" s="8">
        <v>180</v>
      </c>
      <c r="O42" s="8">
        <v>180</v>
      </c>
      <c r="P42" s="8">
        <v>35</v>
      </c>
      <c r="Q42" s="1" t="s">
        <v>30</v>
      </c>
      <c r="R42" s="1" t="s">
        <v>44</v>
      </c>
      <c r="S42" s="1" t="s">
        <v>55</v>
      </c>
      <c r="T42" s="1" t="s">
        <v>184</v>
      </c>
      <c r="U42" s="1" t="s">
        <v>57</v>
      </c>
      <c r="V42" s="1" t="s">
        <v>185</v>
      </c>
    </row>
    <row r="43" spans="1:22" x14ac:dyDescent="0.25">
      <c r="A43" s="2" t="s">
        <v>182</v>
      </c>
      <c r="B43" s="1" t="s">
        <v>183</v>
      </c>
      <c r="C43" s="1">
        <v>2025</v>
      </c>
      <c r="D43" s="1">
        <v>10</v>
      </c>
      <c r="E43" s="1">
        <v>7</v>
      </c>
      <c r="F43" s="1" t="s">
        <v>94</v>
      </c>
      <c r="G43" s="1" t="s">
        <v>71</v>
      </c>
      <c r="H43" s="1" t="s">
        <v>95</v>
      </c>
      <c r="I43" s="1" t="s">
        <v>96</v>
      </c>
      <c r="J43" s="1">
        <v>3</v>
      </c>
      <c r="K43" s="1" t="s">
        <v>36</v>
      </c>
      <c r="L43" s="1" t="s">
        <v>37</v>
      </c>
      <c r="M43" s="1">
        <v>2</v>
      </c>
      <c r="N43" s="8">
        <v>250</v>
      </c>
      <c r="O43" s="8">
        <v>500</v>
      </c>
      <c r="P43" s="8">
        <v>35</v>
      </c>
      <c r="Q43" s="1" t="s">
        <v>30</v>
      </c>
      <c r="R43" s="1" t="s">
        <v>44</v>
      </c>
      <c r="S43" s="1" t="s">
        <v>55</v>
      </c>
      <c r="T43" s="1" t="s">
        <v>184</v>
      </c>
      <c r="U43" s="1" t="s">
        <v>57</v>
      </c>
      <c r="V43" s="1" t="s">
        <v>185</v>
      </c>
    </row>
    <row r="44" spans="1:22" x14ac:dyDescent="0.25">
      <c r="A44" s="2" t="s">
        <v>186</v>
      </c>
      <c r="B44" s="1" t="s">
        <v>187</v>
      </c>
      <c r="C44" s="1">
        <v>2025</v>
      </c>
      <c r="D44" s="1">
        <v>10</v>
      </c>
      <c r="E44" s="1">
        <v>8</v>
      </c>
      <c r="F44" s="1" t="s">
        <v>101</v>
      </c>
      <c r="G44" s="1" t="s">
        <v>25</v>
      </c>
      <c r="H44" s="1" t="s">
        <v>102</v>
      </c>
      <c r="I44" s="1" t="s">
        <v>103</v>
      </c>
      <c r="J44" s="1">
        <v>9</v>
      </c>
      <c r="K44" s="1" t="s">
        <v>47</v>
      </c>
      <c r="L44" s="1" t="s">
        <v>37</v>
      </c>
      <c r="M44" s="1">
        <v>5</v>
      </c>
      <c r="N44" s="8">
        <v>80</v>
      </c>
      <c r="O44" s="8">
        <v>400</v>
      </c>
      <c r="P44" s="8">
        <v>25</v>
      </c>
      <c r="Q44" s="1" t="s">
        <v>30</v>
      </c>
      <c r="R44" s="1" t="s">
        <v>31</v>
      </c>
      <c r="S44" s="1" t="s">
        <v>78</v>
      </c>
      <c r="T44" s="1" t="s">
        <v>57</v>
      </c>
      <c r="U44" s="1" t="s">
        <v>57</v>
      </c>
      <c r="V44" s="1" t="s">
        <v>188</v>
      </c>
    </row>
    <row r="45" spans="1:22" x14ac:dyDescent="0.25">
      <c r="A45" s="2" t="s">
        <v>186</v>
      </c>
      <c r="B45" s="1" t="s">
        <v>187</v>
      </c>
      <c r="C45" s="1">
        <v>2025</v>
      </c>
      <c r="D45" s="1">
        <v>10</v>
      </c>
      <c r="E45" s="1">
        <v>8</v>
      </c>
      <c r="F45" s="1" t="s">
        <v>101</v>
      </c>
      <c r="G45" s="1" t="s">
        <v>25</v>
      </c>
      <c r="H45" s="1" t="s">
        <v>102</v>
      </c>
      <c r="I45" s="1" t="s">
        <v>103</v>
      </c>
      <c r="J45" s="1">
        <v>6</v>
      </c>
      <c r="K45" s="1" t="s">
        <v>59</v>
      </c>
      <c r="L45" s="1" t="s">
        <v>37</v>
      </c>
      <c r="M45" s="1">
        <v>1</v>
      </c>
      <c r="N45" s="8">
        <v>450</v>
      </c>
      <c r="O45" s="8">
        <v>450</v>
      </c>
      <c r="P45" s="8">
        <v>25</v>
      </c>
      <c r="Q45" s="1" t="s">
        <v>30</v>
      </c>
      <c r="R45" s="1" t="s">
        <v>31</v>
      </c>
      <c r="S45" s="1" t="s">
        <v>78</v>
      </c>
      <c r="T45" s="1" t="s">
        <v>57</v>
      </c>
      <c r="U45" s="1" t="s">
        <v>57</v>
      </c>
      <c r="V45" s="1" t="s">
        <v>188</v>
      </c>
    </row>
    <row r="46" spans="1:22" x14ac:dyDescent="0.25">
      <c r="A46" s="2" t="s">
        <v>189</v>
      </c>
      <c r="B46" s="1" t="s">
        <v>190</v>
      </c>
      <c r="C46" s="1">
        <v>2025</v>
      </c>
      <c r="D46" s="1">
        <v>10</v>
      </c>
      <c r="E46" s="1">
        <v>9</v>
      </c>
      <c r="F46" s="1" t="s">
        <v>113</v>
      </c>
      <c r="G46" s="1" t="s">
        <v>25</v>
      </c>
      <c r="H46" s="1" t="s">
        <v>114</v>
      </c>
      <c r="I46" s="1" t="s">
        <v>103</v>
      </c>
      <c r="J46" s="1">
        <v>4</v>
      </c>
      <c r="K46" s="1" t="s">
        <v>127</v>
      </c>
      <c r="L46" s="1" t="s">
        <v>37</v>
      </c>
      <c r="M46" s="1">
        <v>1</v>
      </c>
      <c r="N46" s="8">
        <v>320</v>
      </c>
      <c r="O46" s="8">
        <v>320</v>
      </c>
      <c r="P46" s="8">
        <v>0</v>
      </c>
      <c r="Q46" s="1" t="s">
        <v>66</v>
      </c>
      <c r="R46" s="1" t="s">
        <v>67</v>
      </c>
      <c r="S46" s="1" t="s">
        <v>78</v>
      </c>
      <c r="T46" s="1" t="s">
        <v>57</v>
      </c>
      <c r="U46" s="1" t="s">
        <v>57</v>
      </c>
      <c r="V46" s="1" t="s">
        <v>191</v>
      </c>
    </row>
    <row r="47" spans="1:22" x14ac:dyDescent="0.25">
      <c r="A47" s="2" t="s">
        <v>189</v>
      </c>
      <c r="B47" s="1" t="s">
        <v>190</v>
      </c>
      <c r="C47" s="1">
        <v>2025</v>
      </c>
      <c r="D47" s="1">
        <v>10</v>
      </c>
      <c r="E47" s="1">
        <v>9</v>
      </c>
      <c r="F47" s="1" t="s">
        <v>113</v>
      </c>
      <c r="G47" s="1" t="s">
        <v>25</v>
      </c>
      <c r="H47" s="1" t="s">
        <v>114</v>
      </c>
      <c r="I47" s="1" t="s">
        <v>103</v>
      </c>
      <c r="J47" s="1">
        <v>5</v>
      </c>
      <c r="K47" s="1" t="s">
        <v>52</v>
      </c>
      <c r="L47" s="1" t="s">
        <v>29</v>
      </c>
      <c r="M47" s="1">
        <v>1</v>
      </c>
      <c r="N47" s="8">
        <v>1200</v>
      </c>
      <c r="O47" s="8">
        <v>1200</v>
      </c>
      <c r="P47" s="8">
        <v>0</v>
      </c>
      <c r="Q47" s="1" t="s">
        <v>66</v>
      </c>
      <c r="R47" s="1" t="s">
        <v>67</v>
      </c>
      <c r="S47" s="1" t="s">
        <v>78</v>
      </c>
      <c r="T47" s="1" t="s">
        <v>57</v>
      </c>
      <c r="U47" s="1" t="s">
        <v>57</v>
      </c>
      <c r="V47" s="1" t="s">
        <v>191</v>
      </c>
    </row>
    <row r="48" spans="1:2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8"/>
      <c r="O48" s="8"/>
      <c r="P48" s="1"/>
      <c r="Q48" s="1"/>
      <c r="R48" s="1"/>
      <c r="S48" s="1"/>
      <c r="T48" s="1"/>
      <c r="U48" s="1"/>
      <c r="V48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E0772-B9FA-4F2F-9425-36ED3D4CA623}">
  <dimension ref="A1:Q32"/>
  <sheetViews>
    <sheetView zoomScale="70" zoomScaleNormal="70" workbookViewId="0">
      <selection sqref="A1:V47"/>
    </sheetView>
  </sheetViews>
  <sheetFormatPr defaultRowHeight="16.5" x14ac:dyDescent="0.25"/>
  <cols>
    <col min="1" max="1" width="9.140625" style="16"/>
    <col min="2" max="2" width="27.28515625" style="16" bestFit="1" customWidth="1"/>
    <col min="3" max="3" width="69.7109375" style="16" bestFit="1" customWidth="1"/>
    <col min="4" max="4" width="12.140625" style="16" bestFit="1" customWidth="1"/>
    <col min="5" max="5" width="58.28515625" style="16" bestFit="1" customWidth="1"/>
    <col min="6" max="6" width="57.85546875" style="16" bestFit="1" customWidth="1"/>
    <col min="7" max="16384" width="9.140625" style="16"/>
  </cols>
  <sheetData>
    <row r="1" spans="1:17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ht="21" x14ac:dyDescent="0.25">
      <c r="A2" s="15"/>
      <c r="B2" s="30" t="s">
        <v>192</v>
      </c>
      <c r="C2" s="30" t="s">
        <v>193</v>
      </c>
      <c r="D2" s="31" t="s">
        <v>194</v>
      </c>
      <c r="E2" s="31"/>
      <c r="F2" s="32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3" spans="1:17" ht="21" x14ac:dyDescent="0.25">
      <c r="A3" s="15"/>
      <c r="B3" s="19" t="s">
        <v>195</v>
      </c>
      <c r="C3" s="19" t="s">
        <v>196</v>
      </c>
      <c r="D3" s="20" t="s">
        <v>197</v>
      </c>
      <c r="E3" s="20" t="s">
        <v>198</v>
      </c>
      <c r="F3" s="20" t="s">
        <v>199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</row>
    <row r="4" spans="1:17" ht="21" x14ac:dyDescent="0.25">
      <c r="A4" s="15"/>
      <c r="B4" s="18" t="s">
        <v>200</v>
      </c>
      <c r="C4" s="18" t="s">
        <v>201</v>
      </c>
      <c r="D4" s="18" t="s">
        <v>202</v>
      </c>
      <c r="E4" s="18" t="s">
        <v>203</v>
      </c>
      <c r="F4" s="17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 ht="17.25" thickBot="1" x14ac:dyDescent="0.3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</row>
    <row r="6" spans="1:17" ht="18" thickTop="1" thickBot="1" x14ac:dyDescent="0.3">
      <c r="A6" s="15"/>
      <c r="B6" s="21" t="s">
        <v>204</v>
      </c>
      <c r="C6" s="42" t="s">
        <v>205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</row>
    <row r="7" spans="1:17" ht="17.25" thickTop="1" x14ac:dyDescent="0.25">
      <c r="A7" s="15"/>
      <c r="B7" s="22"/>
      <c r="C7" s="43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1:17" x14ac:dyDescent="0.25">
      <c r="A8" s="15"/>
      <c r="B8" s="22"/>
      <c r="C8" s="44" t="s">
        <v>206</v>
      </c>
      <c r="D8" s="15"/>
      <c r="E8" s="22" t="s">
        <v>207</v>
      </c>
      <c r="F8" s="23" t="s">
        <v>208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17" x14ac:dyDescent="0.25">
      <c r="A9" s="15"/>
      <c r="B9" s="22"/>
      <c r="C9" s="44"/>
      <c r="D9" s="15"/>
      <c r="E9" s="24" t="s">
        <v>207</v>
      </c>
      <c r="F9" s="25" t="s">
        <v>209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</row>
    <row r="10" spans="1:17" x14ac:dyDescent="0.25">
      <c r="A10" s="15"/>
      <c r="B10" s="22"/>
      <c r="C10" s="44" t="s">
        <v>210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</row>
    <row r="11" spans="1:17" ht="17.25" thickBot="1" x14ac:dyDescent="0.3">
      <c r="A11" s="15"/>
      <c r="B11" s="22"/>
      <c r="C11" s="4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</row>
    <row r="12" spans="1:17" ht="17.25" thickTop="1" x14ac:dyDescent="0.25">
      <c r="A12" s="15"/>
      <c r="B12" s="22"/>
      <c r="C12" s="46" t="s">
        <v>211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</row>
    <row r="13" spans="1:17" x14ac:dyDescent="0.25">
      <c r="A13" s="15"/>
      <c r="B13" s="22"/>
      <c r="C13" s="47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spans="1:17" x14ac:dyDescent="0.25">
      <c r="A14" s="15"/>
      <c r="B14" s="22"/>
      <c r="C14" s="47" t="s">
        <v>212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7" x14ac:dyDescent="0.25">
      <c r="A15" s="15"/>
      <c r="B15" s="22"/>
      <c r="C15" s="47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1:17" x14ac:dyDescent="0.25">
      <c r="A16" s="15"/>
      <c r="B16" s="22"/>
      <c r="C16" s="47" t="s">
        <v>210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  <row r="17" spans="1:17" ht="17.25" thickBot="1" x14ac:dyDescent="0.3">
      <c r="A17" s="15"/>
      <c r="B17" s="22"/>
      <c r="C17" s="48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spans="1:17" ht="17.25" thickTop="1" x14ac:dyDescent="0.25">
      <c r="A18" s="15"/>
      <c r="B18" s="22"/>
      <c r="C18" s="49" t="s">
        <v>213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</row>
    <row r="19" spans="1:17" x14ac:dyDescent="0.25">
      <c r="A19" s="15"/>
      <c r="B19" s="22"/>
      <c r="C19" s="44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</row>
    <row r="20" spans="1:17" x14ac:dyDescent="0.25">
      <c r="A20" s="15"/>
      <c r="B20" s="22"/>
      <c r="C20" s="47" t="s">
        <v>214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</row>
    <row r="21" spans="1:17" ht="17.25" thickBot="1" x14ac:dyDescent="0.3">
      <c r="A21" s="15"/>
      <c r="B21" s="22"/>
      <c r="C21" s="48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</row>
    <row r="22" spans="1:17" ht="17.25" thickTop="1" x14ac:dyDescent="0.25">
      <c r="A22" s="15"/>
      <c r="B22" s="22"/>
      <c r="C22" s="50" t="s">
        <v>215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</row>
    <row r="23" spans="1:17" x14ac:dyDescent="0.25">
      <c r="A23" s="15"/>
      <c r="B23" s="22"/>
      <c r="C23" s="40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</row>
    <row r="24" spans="1:17" x14ac:dyDescent="0.25">
      <c r="A24" s="15"/>
      <c r="B24" s="22"/>
      <c r="C24" s="40" t="s">
        <v>216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</row>
    <row r="25" spans="1:17" x14ac:dyDescent="0.25">
      <c r="A25" s="15"/>
      <c r="B25" s="22"/>
      <c r="C25" s="40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</row>
    <row r="26" spans="1:17" x14ac:dyDescent="0.25">
      <c r="A26" s="15"/>
      <c r="B26" s="22"/>
      <c r="C26" s="40" t="s">
        <v>210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</row>
    <row r="27" spans="1:17" ht="17.25" thickBot="1" x14ac:dyDescent="0.3">
      <c r="A27" s="15"/>
      <c r="B27" s="22"/>
      <c r="C27" s="41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</row>
    <row r="28" spans="1:17" ht="17.25" thickTop="1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</row>
    <row r="29" spans="1:17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</row>
    <row r="30" spans="1:17" x14ac:dyDescent="0.2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</row>
    <row r="31" spans="1:17" x14ac:dyDescent="0.2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</row>
    <row r="32" spans="1:17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</row>
  </sheetData>
  <mergeCells count="11">
    <mergeCell ref="C26:C27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A0C76-748A-4014-AAB4-8D486821FC90}">
  <dimension ref="A3:AR72"/>
  <sheetViews>
    <sheetView zoomScale="55" zoomScaleNormal="55" workbookViewId="0">
      <selection activeCell="G24" sqref="G24"/>
    </sheetView>
  </sheetViews>
  <sheetFormatPr defaultRowHeight="15" x14ac:dyDescent="0.25"/>
  <cols>
    <col min="1" max="1" width="25.140625" bestFit="1" customWidth="1"/>
    <col min="2" max="2" width="17.85546875" bestFit="1" customWidth="1"/>
    <col min="3" max="3" width="18.85546875" bestFit="1" customWidth="1"/>
    <col min="4" max="4" width="21.42578125" bestFit="1" customWidth="1"/>
    <col min="6" max="6" width="2.42578125" customWidth="1"/>
    <col min="7" max="7" width="20.7109375" bestFit="1" customWidth="1"/>
    <col min="8" max="8" width="18.28515625" bestFit="1" customWidth="1"/>
    <col min="9" max="9" width="17.140625" bestFit="1" customWidth="1"/>
    <col min="10" max="10" width="26.140625" bestFit="1" customWidth="1"/>
    <col min="11" max="11" width="25.140625" bestFit="1" customWidth="1"/>
    <col min="12" max="12" width="17.85546875" bestFit="1" customWidth="1"/>
    <col min="13" max="13" width="18.85546875" bestFit="1" customWidth="1"/>
    <col min="14" max="14" width="2.42578125" customWidth="1"/>
    <col min="15" max="15" width="30.28515625" bestFit="1" customWidth="1"/>
    <col min="16" max="16" width="25.140625" bestFit="1" customWidth="1"/>
    <col min="17" max="17" width="2.42578125" customWidth="1"/>
    <col min="18" max="18" width="26.140625" bestFit="1" customWidth="1"/>
    <col min="19" max="19" width="25.140625" bestFit="1" customWidth="1"/>
    <col min="20" max="20" width="2.42578125" customWidth="1"/>
    <col min="21" max="21" width="25.5703125" bestFit="1" customWidth="1"/>
    <col min="22" max="22" width="16.28515625" bestFit="1" customWidth="1"/>
    <col min="23" max="23" width="12.140625" bestFit="1" customWidth="1"/>
    <col min="24" max="24" width="2.42578125" customWidth="1"/>
    <col min="25" max="25" width="26.140625" bestFit="1" customWidth="1"/>
    <col min="26" max="26" width="25.140625" bestFit="1" customWidth="1"/>
    <col min="27" max="27" width="2.42578125" customWidth="1"/>
    <col min="28" max="28" width="26.140625" bestFit="1" customWidth="1"/>
    <col min="29" max="29" width="25.140625" bestFit="1" customWidth="1"/>
    <col min="30" max="30" width="2.42578125" customWidth="1"/>
    <col min="31" max="31" width="23.7109375" bestFit="1" customWidth="1"/>
    <col min="32" max="32" width="17.85546875" bestFit="1" customWidth="1"/>
    <col min="33" max="33" width="2.42578125" customWidth="1"/>
    <col min="34" max="34" width="23.7109375" bestFit="1" customWidth="1"/>
    <col min="35" max="35" width="18.5703125" bestFit="1" customWidth="1"/>
    <col min="36" max="36" width="12.85546875" bestFit="1" customWidth="1"/>
    <col min="37" max="37" width="25.140625" bestFit="1" customWidth="1"/>
    <col min="38" max="38" width="8.42578125" bestFit="1" customWidth="1"/>
    <col min="39" max="39" width="2.42578125" customWidth="1"/>
    <col min="40" max="40" width="17.28515625" bestFit="1" customWidth="1"/>
    <col min="41" max="41" width="8.42578125" bestFit="1" customWidth="1"/>
    <col min="42" max="42" width="2.42578125" customWidth="1"/>
    <col min="43" max="43" width="35" bestFit="1" customWidth="1"/>
    <col min="44" max="44" width="17.28515625" bestFit="1" customWidth="1"/>
  </cols>
  <sheetData>
    <row r="3" spans="1:44" x14ac:dyDescent="0.25">
      <c r="K3" s="3"/>
      <c r="M3" s="11">
        <f>GETPIVOTDATA("[Measures].[Ticket_Medio]",$J$7)</f>
        <v>1862.8</v>
      </c>
    </row>
    <row r="4" spans="1:44" ht="16.5" x14ac:dyDescent="0.25">
      <c r="A4" t="s">
        <v>237</v>
      </c>
      <c r="B4" t="s">
        <v>238</v>
      </c>
      <c r="C4" t="s">
        <v>239</v>
      </c>
      <c r="D4" t="s">
        <v>245</v>
      </c>
      <c r="G4" s="51" t="s">
        <v>217</v>
      </c>
      <c r="H4" s="51"/>
      <c r="J4" s="53" t="s">
        <v>218</v>
      </c>
      <c r="K4" s="51"/>
      <c r="L4" s="51"/>
      <c r="M4" s="51"/>
      <c r="O4" s="51" t="s">
        <v>219</v>
      </c>
      <c r="P4" s="51"/>
      <c r="R4" s="52" t="s">
        <v>220</v>
      </c>
      <c r="S4" s="52"/>
      <c r="U4" s="52" t="s">
        <v>221</v>
      </c>
      <c r="V4" s="52"/>
      <c r="W4" s="52"/>
      <c r="Y4" s="52" t="s">
        <v>222</v>
      </c>
      <c r="Z4" s="52"/>
      <c r="AB4" s="52" t="s">
        <v>223</v>
      </c>
      <c r="AC4" s="52"/>
      <c r="AE4" s="52" t="s">
        <v>224</v>
      </c>
      <c r="AF4" s="52"/>
      <c r="AH4" s="52" t="s">
        <v>225</v>
      </c>
      <c r="AI4" s="52"/>
      <c r="AK4" s="52" t="s">
        <v>226</v>
      </c>
      <c r="AL4" s="52"/>
      <c r="AN4" s="52" t="s">
        <v>227</v>
      </c>
      <c r="AO4" s="52"/>
      <c r="AQ4" s="35"/>
    </row>
    <row r="5" spans="1:44" x14ac:dyDescent="0.25">
      <c r="A5" s="34">
        <v>46570</v>
      </c>
      <c r="B5" s="14">
        <v>25</v>
      </c>
      <c r="C5" s="34">
        <v>1862.8</v>
      </c>
      <c r="D5" s="37">
        <v>12</v>
      </c>
      <c r="G5" s="7" t="s">
        <v>228</v>
      </c>
      <c r="H5" t="s" vm="7">
        <v>231</v>
      </c>
      <c r="J5" s="7" t="s">
        <v>228</v>
      </c>
      <c r="K5" t="s" vm="7">
        <v>231</v>
      </c>
      <c r="O5" s="7" t="s">
        <v>230</v>
      </c>
      <c r="P5" t="s" vm="1">
        <v>231</v>
      </c>
      <c r="R5" s="52"/>
      <c r="S5" s="52"/>
      <c r="U5" s="52"/>
      <c r="V5" s="52"/>
      <c r="W5" s="52"/>
      <c r="Y5" s="52"/>
      <c r="Z5" s="52"/>
      <c r="AB5" s="52"/>
      <c r="AC5" s="52"/>
      <c r="AE5" s="52"/>
      <c r="AF5" s="52"/>
      <c r="AH5" s="52"/>
      <c r="AI5" s="52"/>
      <c r="AK5" s="52"/>
      <c r="AL5" s="52"/>
      <c r="AN5" s="52"/>
      <c r="AO5" s="52"/>
      <c r="AQ5" s="36"/>
      <c r="AR5" s="33"/>
    </row>
    <row r="6" spans="1:44" x14ac:dyDescent="0.25">
      <c r="A6" s="34">
        <f>GETPIVOTDATA("[Measures].[Faturamento_Total]",$A$4)</f>
        <v>46570</v>
      </c>
      <c r="B6" s="14">
        <f>GETPIVOTDATA("[Measures].[Qnt_Pedidos]",$A$4)</f>
        <v>25</v>
      </c>
      <c r="C6" s="34">
        <f>GETPIVOTDATA("[Measures].[Ticket_Medio]",$A$4)</f>
        <v>1862.8</v>
      </c>
      <c r="D6" s="37">
        <f>GETPIVOTDATA("[Measures].[Clientes_Ativos]",$A$4)</f>
        <v>12</v>
      </c>
      <c r="G6" s="7" t="s">
        <v>234</v>
      </c>
      <c r="H6" t="s" vm="3">
        <v>231</v>
      </c>
      <c r="O6" s="7" t="s">
        <v>235</v>
      </c>
      <c r="P6" t="s" vm="2">
        <v>231</v>
      </c>
      <c r="R6" s="7" t="s">
        <v>230</v>
      </c>
      <c r="S6" t="s" vm="1">
        <v>231</v>
      </c>
      <c r="U6" s="52"/>
      <c r="V6" s="52"/>
      <c r="W6" s="52"/>
      <c r="Y6" s="52"/>
      <c r="Z6" s="52"/>
      <c r="AB6" s="52"/>
      <c r="AC6" s="52"/>
      <c r="AE6" s="52"/>
      <c r="AF6" s="52"/>
      <c r="AH6" s="52"/>
      <c r="AI6" s="52"/>
      <c r="AK6" s="52"/>
      <c r="AL6" s="52"/>
      <c r="AN6" s="52"/>
      <c r="AO6" s="52"/>
    </row>
    <row r="7" spans="1:44" x14ac:dyDescent="0.25">
      <c r="J7" s="7" t="s">
        <v>236</v>
      </c>
      <c r="K7" t="s">
        <v>237</v>
      </c>
      <c r="L7" t="s">
        <v>238</v>
      </c>
      <c r="M7" t="s">
        <v>239</v>
      </c>
      <c r="O7" s="7" t="s">
        <v>228</v>
      </c>
      <c r="P7" t="s" vm="7">
        <v>231</v>
      </c>
      <c r="R7" s="7" t="s">
        <v>235</v>
      </c>
      <c r="S7" t="s" vm="2">
        <v>231</v>
      </c>
      <c r="U7" s="7" t="s">
        <v>230</v>
      </c>
      <c r="V7" t="s" vm="1">
        <v>231</v>
      </c>
      <c r="Y7" s="7" t="s">
        <v>230</v>
      </c>
      <c r="Z7" t="s" vm="1">
        <v>231</v>
      </c>
      <c r="AB7" s="7" t="s">
        <v>230</v>
      </c>
      <c r="AC7" t="s" vm="1">
        <v>231</v>
      </c>
      <c r="AE7" s="7" t="s">
        <v>230</v>
      </c>
      <c r="AF7" t="s" vm="1">
        <v>231</v>
      </c>
      <c r="AH7" s="7" t="s">
        <v>230</v>
      </c>
      <c r="AI7" t="s" vm="1">
        <v>231</v>
      </c>
      <c r="AK7" s="7" t="s">
        <v>230</v>
      </c>
      <c r="AL7" t="s" vm="1">
        <v>231</v>
      </c>
      <c r="AN7" s="7" t="s">
        <v>230</v>
      </c>
      <c r="AO7" t="s" vm="1">
        <v>231</v>
      </c>
    </row>
    <row r="8" spans="1:44" x14ac:dyDescent="0.25">
      <c r="G8" s="7" t="s">
        <v>235</v>
      </c>
      <c r="H8" t="s">
        <v>240</v>
      </c>
      <c r="J8" s="12">
        <v>2025</v>
      </c>
      <c r="R8" s="7" t="s">
        <v>241</v>
      </c>
      <c r="S8" t="s" vm="6">
        <v>231</v>
      </c>
      <c r="U8" s="7" t="s">
        <v>235</v>
      </c>
      <c r="V8" t="s" vm="2">
        <v>231</v>
      </c>
      <c r="Y8" s="7" t="s">
        <v>235</v>
      </c>
      <c r="Z8" t="s" vm="2">
        <v>231</v>
      </c>
      <c r="AB8" s="7" t="s">
        <v>235</v>
      </c>
      <c r="AC8" t="s" vm="2">
        <v>231</v>
      </c>
      <c r="AE8" s="7" t="s">
        <v>235</v>
      </c>
      <c r="AF8" t="s" vm="2">
        <v>231</v>
      </c>
      <c r="AH8" s="7" t="s">
        <v>235</v>
      </c>
      <c r="AI8" t="s" vm="2">
        <v>231</v>
      </c>
      <c r="AK8" s="7" t="s">
        <v>235</v>
      </c>
      <c r="AL8" t="s" vm="2">
        <v>231</v>
      </c>
      <c r="AN8" s="7" t="s">
        <v>235</v>
      </c>
      <c r="AO8" t="s" vm="2">
        <v>231</v>
      </c>
    </row>
    <row r="9" spans="1:44" x14ac:dyDescent="0.25">
      <c r="G9" s="12">
        <v>9</v>
      </c>
      <c r="H9" s="34">
        <v>14820</v>
      </c>
      <c r="J9" s="13">
        <v>9</v>
      </c>
      <c r="K9" s="34">
        <v>14820</v>
      </c>
      <c r="L9" s="14">
        <v>7</v>
      </c>
      <c r="M9" s="34">
        <v>2117.1428571428573</v>
      </c>
      <c r="O9" s="7" t="s">
        <v>236</v>
      </c>
      <c r="P9" t="s">
        <v>237</v>
      </c>
      <c r="Q9" s="33"/>
      <c r="R9" s="7" t="s">
        <v>228</v>
      </c>
      <c r="S9" t="s" vm="7">
        <v>231</v>
      </c>
      <c r="U9" s="7" t="s">
        <v>242</v>
      </c>
      <c r="V9" t="s" vm="5">
        <v>231</v>
      </c>
      <c r="Y9" s="7" t="s">
        <v>228</v>
      </c>
      <c r="Z9" t="s" vm="7">
        <v>231</v>
      </c>
      <c r="AB9" s="7" t="s">
        <v>234</v>
      </c>
      <c r="AC9" t="s" vm="3">
        <v>231</v>
      </c>
      <c r="AE9" s="7" t="s">
        <v>234</v>
      </c>
      <c r="AF9" t="s" vm="3">
        <v>231</v>
      </c>
      <c r="AH9" s="7" t="s">
        <v>234</v>
      </c>
      <c r="AI9" t="s" vm="4">
        <v>229</v>
      </c>
      <c r="AK9" s="7" t="s">
        <v>234</v>
      </c>
      <c r="AL9" t="s" vm="3">
        <v>231</v>
      </c>
      <c r="AN9" s="7" t="s">
        <v>228</v>
      </c>
      <c r="AO9" t="s" vm="7">
        <v>231</v>
      </c>
    </row>
    <row r="10" spans="1:44" x14ac:dyDescent="0.25">
      <c r="G10" s="12">
        <v>10</v>
      </c>
      <c r="H10" s="34">
        <v>31750</v>
      </c>
      <c r="J10" s="13">
        <v>10</v>
      </c>
      <c r="K10" s="34">
        <v>31750</v>
      </c>
      <c r="L10" s="14">
        <v>18</v>
      </c>
      <c r="M10" s="34">
        <v>1763.8888888888889</v>
      </c>
      <c r="O10" s="12" t="s">
        <v>28</v>
      </c>
      <c r="P10" s="34">
        <v>9600</v>
      </c>
      <c r="Q10" s="11"/>
      <c r="U10" s="7" t="s">
        <v>228</v>
      </c>
      <c r="V10" t="s" vm="7">
        <v>231</v>
      </c>
      <c r="AB10" s="7" t="s">
        <v>228</v>
      </c>
      <c r="AC10" t="s" vm="7">
        <v>231</v>
      </c>
      <c r="AK10" s="7" t="s">
        <v>228</v>
      </c>
      <c r="AL10" t="s" vm="7">
        <v>231</v>
      </c>
    </row>
    <row r="11" spans="1:44" x14ac:dyDescent="0.25">
      <c r="G11" s="12" t="s">
        <v>243</v>
      </c>
      <c r="H11" s="34">
        <v>46570</v>
      </c>
      <c r="J11" s="12" t="s">
        <v>243</v>
      </c>
      <c r="K11" s="34">
        <v>46570</v>
      </c>
      <c r="L11" s="14">
        <v>25</v>
      </c>
      <c r="M11" s="34">
        <v>1862.8</v>
      </c>
      <c r="O11" s="12" t="s">
        <v>42</v>
      </c>
      <c r="P11" s="34">
        <v>7200</v>
      </c>
      <c r="R11" s="7" t="s">
        <v>236</v>
      </c>
      <c r="S11" t="s">
        <v>237</v>
      </c>
      <c r="Y11" s="7" t="s">
        <v>236</v>
      </c>
      <c r="Z11" t="s">
        <v>237</v>
      </c>
      <c r="AE11" s="7" t="s">
        <v>228</v>
      </c>
      <c r="AF11" t="s">
        <v>238</v>
      </c>
      <c r="AH11" s="7" t="s">
        <v>228</v>
      </c>
      <c r="AI11" t="s">
        <v>240</v>
      </c>
      <c r="AN11" t="s">
        <v>233</v>
      </c>
    </row>
    <row r="12" spans="1:44" x14ac:dyDescent="0.25">
      <c r="O12" s="12" t="s">
        <v>52</v>
      </c>
      <c r="P12" s="34">
        <v>3600</v>
      </c>
      <c r="R12" s="12" t="s">
        <v>29</v>
      </c>
      <c r="S12" s="27">
        <v>0.42280438050246938</v>
      </c>
      <c r="U12" s="7" t="s">
        <v>232</v>
      </c>
      <c r="V12" t="s">
        <v>240</v>
      </c>
      <c r="Y12" s="12" t="s">
        <v>31</v>
      </c>
      <c r="Z12" s="27">
        <v>0.336267983680481</v>
      </c>
      <c r="AB12" s="7" t="s">
        <v>236</v>
      </c>
      <c r="AC12" t="s">
        <v>237</v>
      </c>
      <c r="AE12" s="12" t="s">
        <v>30</v>
      </c>
      <c r="AF12" s="14">
        <v>12</v>
      </c>
      <c r="AH12" s="12" t="s">
        <v>30</v>
      </c>
      <c r="AI12" s="11">
        <v>23900</v>
      </c>
      <c r="AK12" t="s">
        <v>237</v>
      </c>
      <c r="AN12">
        <v>25</v>
      </c>
    </row>
    <row r="13" spans="1:44" x14ac:dyDescent="0.25">
      <c r="O13" s="12" t="s">
        <v>123</v>
      </c>
      <c r="P13" s="34">
        <v>3400</v>
      </c>
      <c r="R13" s="12" t="s">
        <v>43</v>
      </c>
      <c r="S13" s="27">
        <v>0.15460596950826713</v>
      </c>
      <c r="U13" s="12" t="s">
        <v>113</v>
      </c>
      <c r="V13" s="11">
        <v>3720</v>
      </c>
      <c r="Y13" s="12" t="s">
        <v>44</v>
      </c>
      <c r="Z13" s="27">
        <v>0.22911745759072363</v>
      </c>
      <c r="AB13" s="12" t="s">
        <v>72</v>
      </c>
      <c r="AC13" s="34">
        <v>10070</v>
      </c>
      <c r="AE13" s="12" t="s">
        <v>32</v>
      </c>
      <c r="AF13" s="14">
        <v>5</v>
      </c>
      <c r="AH13" s="12" t="s">
        <v>32</v>
      </c>
      <c r="AI13" s="11">
        <v>10870</v>
      </c>
      <c r="AK13" s="34">
        <v>46570</v>
      </c>
    </row>
    <row r="14" spans="1:44" ht="16.5" customHeight="1" x14ac:dyDescent="0.25">
      <c r="O14" s="12" t="s">
        <v>64</v>
      </c>
      <c r="P14" s="34">
        <v>2700</v>
      </c>
      <c r="R14" s="12" t="s">
        <v>37</v>
      </c>
      <c r="S14" s="27">
        <v>0.12862357741035002</v>
      </c>
      <c r="U14" s="12" t="s">
        <v>40</v>
      </c>
      <c r="V14" s="11">
        <v>4980</v>
      </c>
      <c r="Y14" s="12" t="s">
        <v>67</v>
      </c>
      <c r="Z14" s="27">
        <v>0.15825638823276789</v>
      </c>
      <c r="AB14" s="12" t="s">
        <v>26</v>
      </c>
      <c r="AC14" s="34">
        <v>8650</v>
      </c>
      <c r="AE14" s="12" t="s">
        <v>66</v>
      </c>
      <c r="AF14" s="14">
        <v>3</v>
      </c>
      <c r="AH14" s="12" t="s">
        <v>76</v>
      </c>
      <c r="AI14" s="11">
        <v>3530</v>
      </c>
    </row>
    <row r="15" spans="1:44" x14ac:dyDescent="0.25">
      <c r="O15" s="12" t="s">
        <v>165</v>
      </c>
      <c r="P15" s="34">
        <v>2500</v>
      </c>
      <c r="R15" s="12" t="s">
        <v>65</v>
      </c>
      <c r="S15" s="27">
        <v>5.7977238565600171E-2</v>
      </c>
      <c r="U15" s="12" t="s">
        <v>121</v>
      </c>
      <c r="V15" s="11">
        <v>6880</v>
      </c>
      <c r="Y15" s="12" t="s">
        <v>54</v>
      </c>
      <c r="Z15" s="27">
        <v>0.13828645050461671</v>
      </c>
      <c r="AB15" s="12" t="s">
        <v>122</v>
      </c>
      <c r="AC15" s="34">
        <v>6880</v>
      </c>
      <c r="AE15" s="12" t="s">
        <v>76</v>
      </c>
      <c r="AF15" s="14">
        <v>3</v>
      </c>
      <c r="AH15" s="12" t="s">
        <v>53</v>
      </c>
      <c r="AI15" s="11">
        <v>2000</v>
      </c>
    </row>
    <row r="16" spans="1:44" ht="16.5" customHeight="1" x14ac:dyDescent="0.3">
      <c r="I16" s="5"/>
      <c r="O16" s="12" t="s">
        <v>109</v>
      </c>
      <c r="P16" s="34">
        <v>2200</v>
      </c>
      <c r="R16" s="12" t="s">
        <v>75</v>
      </c>
      <c r="S16" s="27">
        <v>5.5185741893923126E-2</v>
      </c>
      <c r="U16" s="12" t="s">
        <v>126</v>
      </c>
      <c r="V16" s="11">
        <v>7670</v>
      </c>
      <c r="Y16" s="12" t="s">
        <v>77</v>
      </c>
      <c r="Z16" s="27">
        <v>0.13807171999141077</v>
      </c>
      <c r="AB16" s="12" t="s">
        <v>41</v>
      </c>
      <c r="AC16" s="34">
        <v>4980</v>
      </c>
      <c r="AE16" s="12" t="s">
        <v>53</v>
      </c>
      <c r="AF16" s="14">
        <v>2</v>
      </c>
      <c r="AH16" s="12" t="s">
        <v>66</v>
      </c>
      <c r="AI16" s="11">
        <v>1520</v>
      </c>
    </row>
    <row r="17" spans="9:35" ht="16.5" x14ac:dyDescent="0.3">
      <c r="I17" s="4"/>
      <c r="O17" s="12" t="s">
        <v>86</v>
      </c>
      <c r="P17" s="34">
        <v>1650</v>
      </c>
      <c r="R17" s="12" t="s">
        <v>166</v>
      </c>
      <c r="S17" s="27">
        <v>5.3682628301481641E-2</v>
      </c>
      <c r="U17" s="12" t="s">
        <v>24</v>
      </c>
      <c r="V17" s="11">
        <v>8650</v>
      </c>
      <c r="AB17" s="12" t="s">
        <v>114</v>
      </c>
      <c r="AC17" s="34">
        <v>3720</v>
      </c>
      <c r="AE17" s="12" t="s">
        <v>243</v>
      </c>
      <c r="AF17" s="14">
        <v>25</v>
      </c>
      <c r="AH17" s="12" t="s">
        <v>243</v>
      </c>
      <c r="AI17" s="11">
        <v>41820</v>
      </c>
    </row>
    <row r="18" spans="9:35" x14ac:dyDescent="0.25">
      <c r="O18" s="12" t="s">
        <v>115</v>
      </c>
      <c r="P18" s="34">
        <v>1440</v>
      </c>
      <c r="R18" s="12" t="s">
        <v>110</v>
      </c>
      <c r="S18" s="27">
        <v>4.7240712905303843E-2</v>
      </c>
      <c r="AB18" s="12" t="s">
        <v>102</v>
      </c>
      <c r="AC18" s="34">
        <v>3360</v>
      </c>
    </row>
    <row r="19" spans="9:35" x14ac:dyDescent="0.25">
      <c r="O19" s="12" t="s">
        <v>80</v>
      </c>
      <c r="P19" s="34">
        <v>1400</v>
      </c>
      <c r="R19" s="12" t="s">
        <v>81</v>
      </c>
      <c r="S19" s="27">
        <v>3.006227184882972E-2</v>
      </c>
      <c r="AB19" s="12" t="s">
        <v>132</v>
      </c>
      <c r="AC19" s="34">
        <v>2250</v>
      </c>
    </row>
    <row r="20" spans="9:35" x14ac:dyDescent="0.25">
      <c r="R20" s="12" t="s">
        <v>105</v>
      </c>
      <c r="S20" s="27">
        <v>2.8344427743182306E-2</v>
      </c>
      <c r="AB20" s="12" t="s">
        <v>51</v>
      </c>
      <c r="AC20" s="34">
        <v>2000</v>
      </c>
    </row>
    <row r="21" spans="9:35" x14ac:dyDescent="0.25">
      <c r="R21" s="12" t="s">
        <v>91</v>
      </c>
      <c r="S21" s="27">
        <v>2.1473051320592657E-2</v>
      </c>
      <c r="AB21" s="12" t="s">
        <v>85</v>
      </c>
      <c r="AC21" s="34">
        <v>1970</v>
      </c>
    </row>
    <row r="22" spans="9:35" x14ac:dyDescent="0.25">
      <c r="AB22" s="12" t="s">
        <v>63</v>
      </c>
      <c r="AC22" s="34">
        <v>1350</v>
      </c>
    </row>
    <row r="23" spans="9:35" x14ac:dyDescent="0.25">
      <c r="AB23" s="12" t="s">
        <v>95</v>
      </c>
      <c r="AC23" s="34">
        <v>1340</v>
      </c>
    </row>
    <row r="24" spans="9:35" x14ac:dyDescent="0.25">
      <c r="AB24" s="12" t="s">
        <v>243</v>
      </c>
      <c r="AC24" s="34">
        <v>46570</v>
      </c>
    </row>
    <row r="27" spans="9:35" ht="16.5" x14ac:dyDescent="0.25">
      <c r="M27" s="6"/>
    </row>
    <row r="28" spans="9:35" ht="16.5" x14ac:dyDescent="0.25">
      <c r="M28" s="6"/>
    </row>
    <row r="29" spans="9:35" ht="16.5" x14ac:dyDescent="0.25">
      <c r="M29" s="6"/>
    </row>
    <row r="39" ht="15" customHeight="1" x14ac:dyDescent="0.25"/>
    <row r="40" ht="15" customHeight="1" x14ac:dyDescent="0.25"/>
    <row r="41" ht="15" customHeight="1" x14ac:dyDescent="0.25"/>
    <row r="72" spans="13:13" x14ac:dyDescent="0.25">
      <c r="M72" s="11"/>
    </row>
  </sheetData>
  <mergeCells count="11">
    <mergeCell ref="G4:H4"/>
    <mergeCell ref="AH4:AI6"/>
    <mergeCell ref="AB4:AC6"/>
    <mergeCell ref="AK4:AL6"/>
    <mergeCell ref="AN4:AO6"/>
    <mergeCell ref="J4:M4"/>
    <mergeCell ref="O4:P4"/>
    <mergeCell ref="R4:S5"/>
    <mergeCell ref="Y4:Z6"/>
    <mergeCell ref="AE4:AF6"/>
    <mergeCell ref="U4:W6"/>
  </mergeCells>
  <pageMargins left="0.7" right="0.7" top="0.75" bottom="0.75" header="0.3" footer="0.3"/>
  <pageSetup paperSize="9" orientation="portrait" r:id="rId1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80E32-DB0C-4FE3-835C-3DE80C9AE5AA}">
  <sheetPr>
    <pageSetUpPr fitToPage="1"/>
  </sheetPr>
  <dimension ref="A1:AF121"/>
  <sheetViews>
    <sheetView showGridLines="0" showRowColHeaders="0" tabSelected="1" zoomScale="70" zoomScaleNormal="70" workbookViewId="0">
      <selection sqref="A1:S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9.140625" defaultRowHeight="15" x14ac:dyDescent="0.25"/>
  <cols>
    <col min="1" max="1" width="32.5703125" style="38" customWidth="1"/>
    <col min="2" max="2" width="11" style="38" customWidth="1"/>
    <col min="3" max="3" width="19.85546875" style="38" bestFit="1" customWidth="1"/>
    <col min="4" max="4" width="11.5703125" style="38" bestFit="1" customWidth="1"/>
    <col min="5" max="5" width="12" style="38" bestFit="1" customWidth="1"/>
    <col min="6" max="6" width="9.85546875" style="38" bestFit="1" customWidth="1"/>
    <col min="7" max="7" width="23.7109375" style="38" bestFit="1" customWidth="1"/>
    <col min="8" max="8" width="11.5703125" style="38" bestFit="1" customWidth="1"/>
    <col min="9" max="9" width="19.28515625" style="38" bestFit="1" customWidth="1"/>
    <col min="10" max="10" width="7.42578125" style="38" bestFit="1" customWidth="1"/>
    <col min="11" max="11" width="10.7109375" style="38" bestFit="1" customWidth="1"/>
    <col min="12" max="12" width="27.85546875" style="38" bestFit="1" customWidth="1"/>
    <col min="13" max="13" width="17.42578125" style="38" bestFit="1" customWidth="1"/>
    <col min="14" max="14" width="11.28515625" style="38" bestFit="1" customWidth="1"/>
    <col min="15" max="15" width="14" style="38" bestFit="1" customWidth="1"/>
    <col min="16" max="16" width="10.42578125" style="38" bestFit="1" customWidth="1"/>
    <col min="17" max="17" width="10.5703125" style="38" bestFit="1" customWidth="1"/>
    <col min="18" max="18" width="18.42578125" style="38" bestFit="1" customWidth="1"/>
    <col min="19" max="19" width="17.42578125" style="38" customWidth="1"/>
    <col min="20" max="20" width="14.28515625" style="38" bestFit="1" customWidth="1"/>
    <col min="21" max="22" width="19.85546875" style="38" bestFit="1" customWidth="1"/>
    <col min="23" max="23" width="16.140625" style="38" bestFit="1" customWidth="1"/>
    <col min="24" max="16384" width="9.140625" style="38"/>
  </cols>
  <sheetData>
    <row r="1" spans="1:32" s="1" customFormat="1" ht="16.5" customHeight="1" x14ac:dyDescent="0.3">
      <c r="A1" s="54" t="s">
        <v>244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</row>
    <row r="2" spans="1:32" s="1" customFormat="1" ht="16.5" customHeight="1" x14ac:dyDescent="0.3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</row>
    <row r="3" spans="1:32" s="1" customFormat="1" ht="16.5" customHeight="1" x14ac:dyDescent="0.3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</row>
    <row r="4" spans="1:32" s="1" customFormat="1" ht="16.5" customHeight="1" x14ac:dyDescent="0.3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</row>
    <row r="5" spans="1:32" s="1" customFormat="1" ht="16.5" x14ac:dyDescent="0.3">
      <c r="A5" s="3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</row>
    <row r="6" spans="1:32" s="1" customFormat="1" ht="16.5" x14ac:dyDescent="0.3">
      <c r="A6" s="3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</row>
    <row r="7" spans="1:32" s="1" customFormat="1" ht="16.5" x14ac:dyDescent="0.3">
      <c r="A7" s="3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</row>
    <row r="8" spans="1:32" s="1" customFormat="1" ht="16.5" x14ac:dyDescent="0.3">
      <c r="A8" s="3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</row>
    <row r="9" spans="1:32" s="1" customFormat="1" ht="16.5" x14ac:dyDescent="0.3">
      <c r="A9" s="3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</row>
    <row r="10" spans="1:32" s="1" customFormat="1" ht="16.5" x14ac:dyDescent="0.3">
      <c r="A10" s="3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</row>
    <row r="11" spans="1:32" s="1" customFormat="1" ht="16.5" x14ac:dyDescent="0.3">
      <c r="A11" s="3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</row>
    <row r="12" spans="1:32" s="1" customFormat="1" ht="16.5" x14ac:dyDescent="0.3">
      <c r="A12" s="3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</row>
    <row r="13" spans="1:32" s="1" customFormat="1" ht="16.5" x14ac:dyDescent="0.3">
      <c r="A13" s="3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</row>
    <row r="14" spans="1:32" s="1" customFormat="1" ht="16.5" x14ac:dyDescent="0.3">
      <c r="A14" s="3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</row>
    <row r="15" spans="1:32" s="1" customFormat="1" ht="16.5" x14ac:dyDescent="0.3">
      <c r="A15" s="3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</row>
    <row r="16" spans="1:32" s="1" customFormat="1" ht="16.5" x14ac:dyDescent="0.3">
      <c r="A16" s="3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</row>
    <row r="17" spans="1:32" s="1" customFormat="1" ht="16.5" x14ac:dyDescent="0.3">
      <c r="A17" s="3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</row>
    <row r="18" spans="1:32" s="1" customFormat="1" ht="16.5" x14ac:dyDescent="0.3">
      <c r="A18" s="3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</row>
    <row r="19" spans="1:32" s="1" customFormat="1" ht="16.5" x14ac:dyDescent="0.3">
      <c r="A19" s="3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</row>
    <row r="20" spans="1:32" s="1" customFormat="1" ht="16.5" x14ac:dyDescent="0.3">
      <c r="A20" s="3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</row>
    <row r="21" spans="1:32" s="1" customFormat="1" ht="16.5" x14ac:dyDescent="0.3">
      <c r="A21" s="38"/>
      <c r="B21" s="28"/>
      <c r="C21" s="28"/>
      <c r="D21" s="28"/>
      <c r="E21" s="28"/>
      <c r="F21" s="28"/>
      <c r="G21" s="29"/>
      <c r="H21" s="28"/>
      <c r="I21" s="28"/>
      <c r="J21" s="28"/>
      <c r="L21" s="28"/>
      <c r="M21" s="28"/>
      <c r="N21" s="28"/>
      <c r="O21" s="28"/>
      <c r="P21" s="28"/>
      <c r="Q21" s="28"/>
      <c r="R21" s="28"/>
      <c r="S21" s="28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</row>
    <row r="22" spans="1:32" s="1" customFormat="1" ht="16.5" x14ac:dyDescent="0.3">
      <c r="A22" s="3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</row>
    <row r="23" spans="1:32" s="1" customFormat="1" ht="16.5" x14ac:dyDescent="0.3">
      <c r="A23" s="3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</row>
    <row r="24" spans="1:32" s="1" customFormat="1" ht="16.5" x14ac:dyDescent="0.3">
      <c r="A24" s="38"/>
      <c r="B24" s="28"/>
      <c r="C24" s="28"/>
      <c r="D24" s="28"/>
      <c r="E24" s="28"/>
      <c r="F24" s="28"/>
      <c r="G24" s="28"/>
      <c r="H24" s="28"/>
      <c r="I24" s="29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</row>
    <row r="25" spans="1:32" s="1" customFormat="1" ht="16.5" x14ac:dyDescent="0.3">
      <c r="A25" s="38"/>
      <c r="B25" s="28"/>
      <c r="C25" s="28"/>
      <c r="D25" s="28"/>
      <c r="E25" s="28"/>
      <c r="F25" s="28"/>
      <c r="G25" s="28"/>
      <c r="H25" s="28"/>
      <c r="I25" s="28"/>
      <c r="J25" s="28"/>
      <c r="K25" s="29"/>
      <c r="L25" s="28"/>
      <c r="M25" s="28"/>
      <c r="N25" s="28"/>
      <c r="O25" s="28"/>
      <c r="P25" s="28"/>
      <c r="Q25" s="28"/>
      <c r="R25" s="28"/>
      <c r="S25" s="28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</row>
    <row r="26" spans="1:32" s="1" customFormat="1" ht="16.5" x14ac:dyDescent="0.3">
      <c r="A26" s="3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</row>
    <row r="27" spans="1:32" s="1" customFormat="1" ht="16.5" x14ac:dyDescent="0.3">
      <c r="A27" s="3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</row>
    <row r="28" spans="1:32" s="1" customFormat="1" ht="16.5" x14ac:dyDescent="0.3">
      <c r="A28" s="3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</row>
    <row r="29" spans="1:32" s="1" customFormat="1" ht="16.5" x14ac:dyDescent="0.3">
      <c r="A29" s="3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</row>
    <row r="30" spans="1:32" s="1" customFormat="1" ht="16.5" x14ac:dyDescent="0.3">
      <c r="A30" s="3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</row>
    <row r="31" spans="1:32" s="1" customFormat="1" ht="16.5" x14ac:dyDescent="0.3">
      <c r="A31" s="3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</row>
    <row r="32" spans="1:32" s="1" customFormat="1" ht="16.5" x14ac:dyDescent="0.3">
      <c r="A32" s="3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</row>
    <row r="33" spans="1:32" s="1" customFormat="1" ht="16.5" x14ac:dyDescent="0.3">
      <c r="A33" s="3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</row>
    <row r="34" spans="1:32" s="1" customFormat="1" ht="16.5" x14ac:dyDescent="0.3">
      <c r="A34" s="3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</row>
    <row r="35" spans="1:32" s="1" customFormat="1" ht="16.5" x14ac:dyDescent="0.3">
      <c r="A35" s="3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</row>
    <row r="36" spans="1:32" s="1" customFormat="1" ht="16.5" x14ac:dyDescent="0.3">
      <c r="A36" s="3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</row>
    <row r="37" spans="1:32" s="1" customFormat="1" ht="16.5" x14ac:dyDescent="0.3">
      <c r="A37" s="3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s="1" customFormat="1" ht="16.5" x14ac:dyDescent="0.3">
      <c r="A38" s="3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</row>
    <row r="39" spans="1:32" s="1" customFormat="1" ht="16.5" x14ac:dyDescent="0.3">
      <c r="A39" s="3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</row>
    <row r="40" spans="1:32" s="1" customFormat="1" ht="16.5" x14ac:dyDescent="0.3">
      <c r="A40" s="3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</row>
    <row r="41" spans="1:32" s="1" customFormat="1" ht="16.5" x14ac:dyDescent="0.3">
      <c r="A41" s="3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</row>
    <row r="42" spans="1:32" s="1" customFormat="1" ht="16.5" x14ac:dyDescent="0.3">
      <c r="A42" s="38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</row>
    <row r="43" spans="1:32" s="1" customFormat="1" ht="16.5" x14ac:dyDescent="0.3">
      <c r="A43" s="38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</row>
    <row r="44" spans="1:32" s="1" customFormat="1" ht="16.5" x14ac:dyDescent="0.3">
      <c r="A44" s="38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</row>
    <row r="45" spans="1:32" s="1" customFormat="1" ht="16.5" x14ac:dyDescent="0.3">
      <c r="A45" s="38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</row>
    <row r="46" spans="1:32" s="1" customFormat="1" ht="16.5" x14ac:dyDescent="0.3">
      <c r="A46" s="38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</row>
    <row r="47" spans="1:32" ht="16.5" x14ac:dyDescent="0.3"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</row>
    <row r="48" spans="1:32" ht="16.5" x14ac:dyDescent="0.3"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</row>
    <row r="49" spans="2:32" ht="16.5" x14ac:dyDescent="0.3"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</row>
    <row r="50" spans="2:32" ht="16.5" x14ac:dyDescent="0.3"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</row>
    <row r="51" spans="2:32" ht="16.5" x14ac:dyDescent="0.3"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</row>
    <row r="52" spans="2:32" ht="16.5" x14ac:dyDescent="0.3"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</row>
    <row r="53" spans="2:32" ht="16.5" x14ac:dyDescent="0.3"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</row>
    <row r="54" spans="2:32" ht="16.5" x14ac:dyDescent="0.3"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</row>
    <row r="55" spans="2:32" ht="16.5" x14ac:dyDescent="0.3"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</row>
    <row r="56" spans="2:32" ht="16.5" x14ac:dyDescent="0.3"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</row>
    <row r="57" spans="2:32" ht="16.5" x14ac:dyDescent="0.3"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</row>
    <row r="58" spans="2:32" ht="16.5" x14ac:dyDescent="0.3"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</row>
    <row r="59" spans="2:32" ht="16.5" x14ac:dyDescent="0.3"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</row>
    <row r="60" spans="2:32" ht="16.5" x14ac:dyDescent="0.3"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</row>
    <row r="61" spans="2:32" ht="16.5" x14ac:dyDescent="0.3"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</row>
    <row r="62" spans="2:32" ht="16.5" x14ac:dyDescent="0.3"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</row>
    <row r="63" spans="2:32" ht="16.5" x14ac:dyDescent="0.3"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</row>
    <row r="64" spans="2:32" ht="16.5" x14ac:dyDescent="0.3"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</row>
    <row r="65" spans="2:32" ht="16.5" x14ac:dyDescent="0.3"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</row>
    <row r="66" spans="2:32" ht="16.5" x14ac:dyDescent="0.3"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</row>
    <row r="67" spans="2:32" ht="16.5" x14ac:dyDescent="0.3"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</row>
    <row r="68" spans="2:32" ht="16.5" x14ac:dyDescent="0.3"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</row>
    <row r="69" spans="2:32" ht="16.5" x14ac:dyDescent="0.3"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</row>
    <row r="70" spans="2:32" ht="16.5" x14ac:dyDescent="0.3"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</row>
    <row r="71" spans="2:32" ht="16.5" x14ac:dyDescent="0.3"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</row>
    <row r="72" spans="2:32" ht="16.5" x14ac:dyDescent="0.3"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</row>
    <row r="73" spans="2:32" ht="16.5" x14ac:dyDescent="0.3"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</row>
    <row r="74" spans="2:32" ht="16.5" x14ac:dyDescent="0.3"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</row>
    <row r="75" spans="2:32" ht="16.5" x14ac:dyDescent="0.3"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</row>
    <row r="76" spans="2:32" ht="16.5" x14ac:dyDescent="0.3"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</row>
    <row r="77" spans="2:32" ht="16.5" x14ac:dyDescent="0.3"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</row>
    <row r="78" spans="2:32" ht="16.5" x14ac:dyDescent="0.3"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</row>
    <row r="79" spans="2:32" ht="16.5" x14ac:dyDescent="0.3"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</row>
    <row r="80" spans="2:32" ht="16.5" x14ac:dyDescent="0.3"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</row>
    <row r="81" spans="2:32" ht="16.5" x14ac:dyDescent="0.3"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</row>
    <row r="82" spans="2:32" ht="16.5" x14ac:dyDescent="0.3"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</row>
    <row r="83" spans="2:32" ht="16.5" x14ac:dyDescent="0.3"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</row>
    <row r="84" spans="2:32" ht="16.5" x14ac:dyDescent="0.3"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</row>
    <row r="85" spans="2:32" ht="16.5" x14ac:dyDescent="0.3"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</row>
    <row r="86" spans="2:32" ht="16.5" x14ac:dyDescent="0.3"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</row>
    <row r="87" spans="2:32" ht="16.5" x14ac:dyDescent="0.3"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</row>
    <row r="88" spans="2:32" ht="16.5" x14ac:dyDescent="0.3"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</row>
    <row r="89" spans="2:32" ht="16.5" x14ac:dyDescent="0.3"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</row>
    <row r="90" spans="2:32" ht="16.5" x14ac:dyDescent="0.3"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</row>
    <row r="91" spans="2:32" ht="16.5" x14ac:dyDescent="0.3"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</row>
    <row r="92" spans="2:32" ht="16.5" x14ac:dyDescent="0.3"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</row>
    <row r="93" spans="2:32" ht="16.5" x14ac:dyDescent="0.3"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</row>
    <row r="94" spans="2:32" ht="16.5" x14ac:dyDescent="0.3"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</row>
    <row r="95" spans="2:32" ht="16.5" x14ac:dyDescent="0.3"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</row>
    <row r="96" spans="2:32" ht="16.5" x14ac:dyDescent="0.3"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</row>
    <row r="97" spans="2:32" ht="16.5" x14ac:dyDescent="0.3"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</row>
    <row r="98" spans="2:32" ht="16.5" x14ac:dyDescent="0.3"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</row>
    <row r="99" spans="2:32" ht="16.5" x14ac:dyDescent="0.3"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</row>
    <row r="100" spans="2:32" ht="16.5" x14ac:dyDescent="0.3"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</row>
    <row r="101" spans="2:32" ht="16.5" x14ac:dyDescent="0.3"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</row>
    <row r="102" spans="2:32" ht="16.5" x14ac:dyDescent="0.3"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</row>
    <row r="103" spans="2:32" ht="16.5" x14ac:dyDescent="0.3"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</row>
    <row r="104" spans="2:32" ht="16.5" x14ac:dyDescent="0.3"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</row>
    <row r="105" spans="2:32" ht="16.5" x14ac:dyDescent="0.3"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</row>
    <row r="106" spans="2:32" ht="16.5" x14ac:dyDescent="0.3"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</row>
    <row r="107" spans="2:32" ht="16.5" x14ac:dyDescent="0.3"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</row>
    <row r="108" spans="2:32" ht="16.5" x14ac:dyDescent="0.3"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</row>
    <row r="109" spans="2:32" ht="16.5" x14ac:dyDescent="0.3"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</row>
    <row r="110" spans="2:32" ht="16.5" x14ac:dyDescent="0.3"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</row>
    <row r="111" spans="2:32" ht="16.5" x14ac:dyDescent="0.3"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</row>
    <row r="112" spans="2:32" ht="16.5" x14ac:dyDescent="0.3"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</row>
    <row r="113" spans="2:32" ht="16.5" x14ac:dyDescent="0.3"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</row>
    <row r="114" spans="2:32" ht="16.5" x14ac:dyDescent="0.3"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</row>
    <row r="115" spans="2:32" ht="16.5" x14ac:dyDescent="0.3"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</row>
    <row r="116" spans="2:32" ht="16.5" x14ac:dyDescent="0.3"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</row>
    <row r="117" spans="2:32" ht="16.5" x14ac:dyDescent="0.3"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</row>
    <row r="118" spans="2:32" ht="16.5" x14ac:dyDescent="0.3"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</row>
    <row r="119" spans="2:32" ht="16.5" x14ac:dyDescent="0.3"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</row>
    <row r="120" spans="2:32" ht="16.5" x14ac:dyDescent="0.3"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</row>
    <row r="121" spans="2:32" ht="16.5" x14ac:dyDescent="0.3"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</row>
  </sheetData>
  <mergeCells count="1">
    <mergeCell ref="A1:S4"/>
  </mergeCells>
  <pageMargins left="0.25" right="0.25" top="0.75" bottom="0.75" header="0.3" footer="0.3"/>
  <pageSetup paperSize="9" scale="24" orientation="landscape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Props1.xml><?xml version="1.0" encoding="utf-8"?>
<ds:datastoreItem xmlns:ds="http://schemas.openxmlformats.org/officeDocument/2006/customXml" ds:itemID="{512F8EFC-178E-4346-AF4D-263D449BCAD5}">
  <ds:schemaRefs/>
</ds:datastoreItem>
</file>

<file path=customXml/itemProps2.xml><?xml version="1.0" encoding="utf-8"?>
<ds:datastoreItem xmlns:ds="http://schemas.openxmlformats.org/officeDocument/2006/customXml" ds:itemID="{133EE05A-73D1-4730-81C5-3A3A1B86AB70}">
  <ds:schemaRefs/>
</ds:datastoreItem>
</file>

<file path=customXml/itemProps3.xml><?xml version="1.0" encoding="utf-8"?>
<ds:datastoreItem xmlns:ds="http://schemas.openxmlformats.org/officeDocument/2006/customXml" ds:itemID="{874ECF1E-3B59-4EEF-9F08-7EFF2D7D4E68}">
  <ds:schemaRefs>
    <ds:schemaRef ds:uri="http://gemini/pivotcustomization/810b039f-62b5-4236-a70e-4764bdcb3c81"/>
  </ds:schemaRefs>
</ds:datastoreItem>
</file>

<file path=customXml/itemProps4.xml><?xml version="1.0" encoding="utf-8"?>
<ds:datastoreItem xmlns:ds="http://schemas.openxmlformats.org/officeDocument/2006/customXml" ds:itemID="{50C91F93-1661-49D8-BA60-9AB496022201}">
  <ds:schemaRefs/>
</ds:datastoreItem>
</file>

<file path=customXml/itemProps5.xml><?xml version="1.0" encoding="utf-8"?>
<ds:datastoreItem xmlns:ds="http://schemas.openxmlformats.org/officeDocument/2006/customXml" ds:itemID="{C9BC22EE-B3E0-42BA-AB74-23E7950DE8B8}">
  <ds:schemaRefs/>
</ds:datastoreItem>
</file>

<file path=customXml/itemProps6.xml><?xml version="1.0" encoding="utf-8"?>
<ds:datastoreItem xmlns:ds="http://schemas.openxmlformats.org/officeDocument/2006/customXml" ds:itemID="{90A9A103-12D4-4F7A-9D54-AAFF785A3785}">
  <ds:schemaRefs/>
</ds:datastoreItem>
</file>

<file path=customXml/itemProps7.xml><?xml version="1.0" encoding="utf-8"?>
<ds:datastoreItem xmlns:ds="http://schemas.openxmlformats.org/officeDocument/2006/customXml" ds:itemID="{2855DF83-84CD-4696-8710-FE6326924061}">
  <ds:schemaRefs>
    <ds:schemaRef ds:uri="http://gemini/pivotcustomization/MeasureGridState"/>
  </ds:schemaRefs>
</ds:datastoreItem>
</file>

<file path=customXml/itemProps8.xml><?xml version="1.0" encoding="utf-8"?>
<ds:datastoreItem xmlns:ds="http://schemas.openxmlformats.org/officeDocument/2006/customXml" ds:itemID="{51C4D32D-62BD-4F3C-B26B-7004CD57BC55}">
  <ds:schemaRefs>
    <ds:schemaRef ds:uri="http://gemini/pivotcustomization/LinkedTableUpdateMode"/>
  </ds:schemaRefs>
</ds:datastoreItem>
</file>

<file path=customXml/itemProps9.xml><?xml version="1.0" encoding="utf-8"?>
<ds:datastoreItem xmlns:ds="http://schemas.openxmlformats.org/officeDocument/2006/customXml" ds:itemID="{17BD5F0B-E7BE-4EFA-A256-391F2BF175FD}">
  <ds:schemaRefs/>
</ds:datastoreItem>
</file>

<file path=customXml/itemProps10.xml><?xml version="1.0" encoding="utf-8"?>
<ds:datastoreItem xmlns:ds="http://schemas.openxmlformats.org/officeDocument/2006/customXml" ds:itemID="{2472FCC5-7089-487D-BD02-CBB37E3E538E}">
  <ds:schemaRefs/>
</ds:datastoreItem>
</file>

<file path=customXml/itemProps11.xml><?xml version="1.0" encoding="utf-8"?>
<ds:datastoreItem xmlns:ds="http://schemas.openxmlformats.org/officeDocument/2006/customXml" ds:itemID="{9B036E4C-DC73-4CBE-9FAF-1AC79E35EFC0}">
  <ds:schemaRefs/>
</ds:datastoreItem>
</file>

<file path=customXml/itemProps12.xml><?xml version="1.0" encoding="utf-8"?>
<ds:datastoreItem xmlns:ds="http://schemas.openxmlformats.org/officeDocument/2006/customXml" ds:itemID="{9ACC64CF-E1A6-4ABA-86B5-B5FB65DAC9EE}">
  <ds:schemaRefs/>
</ds:datastoreItem>
</file>

<file path=customXml/itemProps13.xml><?xml version="1.0" encoding="utf-8"?>
<ds:datastoreItem xmlns:ds="http://schemas.openxmlformats.org/officeDocument/2006/customXml" ds:itemID="{350D5868-9C4D-43D1-B17A-94CF4A327442}">
  <ds:schemaRefs>
    <ds:schemaRef ds:uri="http://gemini/pivotcustomization/936c5c1f-9fe3-47a6-beb1-a6676b1a5fe9"/>
  </ds:schemaRefs>
</ds:datastoreItem>
</file>

<file path=customXml/itemProps14.xml><?xml version="1.0" encoding="utf-8"?>
<ds:datastoreItem xmlns:ds="http://schemas.openxmlformats.org/officeDocument/2006/customXml" ds:itemID="{342449B9-9290-476C-BB90-A28A78B02F25}">
  <ds:schemaRefs/>
</ds:datastoreItem>
</file>

<file path=customXml/itemProps15.xml><?xml version="1.0" encoding="utf-8"?>
<ds:datastoreItem xmlns:ds="http://schemas.openxmlformats.org/officeDocument/2006/customXml" ds:itemID="{A975F183-220B-4FBD-9BE9-B3188F2933F1}">
  <ds:schemaRefs/>
</ds:datastoreItem>
</file>

<file path=customXml/itemProps16.xml><?xml version="1.0" encoding="utf-8"?>
<ds:datastoreItem xmlns:ds="http://schemas.openxmlformats.org/officeDocument/2006/customXml" ds:itemID="{2A6220F4-4AD3-41ED-9272-0B054A1D47F1}">
  <ds:schemaRefs>
    <ds:schemaRef ds:uri="http://gemini/pivotcustomization/74d4288d-c900-4a8d-a35b-557392395d27"/>
  </ds:schemaRefs>
</ds:datastoreItem>
</file>

<file path=customXml/itemProps17.xml><?xml version="1.0" encoding="utf-8"?>
<ds:datastoreItem xmlns:ds="http://schemas.openxmlformats.org/officeDocument/2006/customXml" ds:itemID="{5EFCD8F1-D3A7-481E-93E9-5985745E2DCB}">
  <ds:schemaRefs/>
</ds:datastoreItem>
</file>

<file path=customXml/itemProps18.xml><?xml version="1.0" encoding="utf-8"?>
<ds:datastoreItem xmlns:ds="http://schemas.openxmlformats.org/officeDocument/2006/customXml" ds:itemID="{C36AE165-94BE-4879-B529-39161686A4CB}">
  <ds:schemaRefs/>
</ds:datastoreItem>
</file>

<file path=customXml/itemProps19.xml><?xml version="1.0" encoding="utf-8"?>
<ds:datastoreItem xmlns:ds="http://schemas.openxmlformats.org/officeDocument/2006/customXml" ds:itemID="{1A78DFD3-F220-4555-995D-A58E6768A01A}">
  <ds:schemaRefs/>
</ds:datastoreItem>
</file>

<file path=customXml/itemProps20.xml><?xml version="1.0" encoding="utf-8"?>
<ds:datastoreItem xmlns:ds="http://schemas.openxmlformats.org/officeDocument/2006/customXml" ds:itemID="{59786BA0-7CE5-4E3F-91E3-3AFC5427408E}">
  <ds:schemaRefs>
    <ds:schemaRef ds:uri="http://gemini/pivotcustomization/TableOrder"/>
  </ds:schemaRefs>
</ds:datastoreItem>
</file>

<file path=customXml/itemProps21.xml><?xml version="1.0" encoding="utf-8"?>
<ds:datastoreItem xmlns:ds="http://schemas.openxmlformats.org/officeDocument/2006/customXml" ds:itemID="{85E24D57-9314-46A5-865C-D8C04D3EEADD}">
  <ds:schemaRefs/>
</ds:datastoreItem>
</file>

<file path=customXml/itemProps22.xml><?xml version="1.0" encoding="utf-8"?>
<ds:datastoreItem xmlns:ds="http://schemas.openxmlformats.org/officeDocument/2006/customXml" ds:itemID="{83CD58DD-CC19-4885-BD57-4974370BDBA1}">
  <ds:schemaRefs/>
</ds:datastoreItem>
</file>

<file path=customXml/itemProps23.xml><?xml version="1.0" encoding="utf-8"?>
<ds:datastoreItem xmlns:ds="http://schemas.openxmlformats.org/officeDocument/2006/customXml" ds:itemID="{FACE6B3C-0AF8-4786-8DC5-B1D6DDF18D79}">
  <ds:schemaRefs/>
</ds:datastoreItem>
</file>

<file path=customXml/itemProps24.xml><?xml version="1.0" encoding="utf-8"?>
<ds:datastoreItem xmlns:ds="http://schemas.openxmlformats.org/officeDocument/2006/customXml" ds:itemID="{C96A885F-6885-4F75-861A-5CBDA3B0135A}">
  <ds:schemaRefs>
    <ds:schemaRef ds:uri="http://gemini/pivotcustomization/82473d55-8a99-4ddf-a06a-9ca37343f18a"/>
  </ds:schemaRefs>
</ds:datastoreItem>
</file>

<file path=customXml/itemProps25.xml><?xml version="1.0" encoding="utf-8"?>
<ds:datastoreItem xmlns:ds="http://schemas.openxmlformats.org/officeDocument/2006/customXml" ds:itemID="{6818C4A4-3A28-4BC2-969E-6AD12A3DEF6B}">
  <ds:schemaRefs>
    <ds:schemaRef ds:uri="http://gemini/pivotcustomization/ClientWindowXML"/>
  </ds:schemaRefs>
</ds:datastoreItem>
</file>

<file path=customXml/itemProps26.xml><?xml version="1.0" encoding="utf-8"?>
<ds:datastoreItem xmlns:ds="http://schemas.openxmlformats.org/officeDocument/2006/customXml" ds:itemID="{46B291DF-FEDC-4C39-95BF-CEB302641F36}">
  <ds:schemaRefs>
    <ds:schemaRef ds:uri="http://gemini/pivotcustomization/afc3ce09-5dae-4470-98da-88ea68243b5e"/>
  </ds:schemaRefs>
</ds:datastoreItem>
</file>

<file path=customXml/itemProps27.xml><?xml version="1.0" encoding="utf-8"?>
<ds:datastoreItem xmlns:ds="http://schemas.openxmlformats.org/officeDocument/2006/customXml" ds:itemID="{653E65CF-8000-46DD-961B-44D86F69F020}">
  <ds:schemaRefs>
    <ds:schemaRef ds:uri="http://gemini/pivotcustomization/FormulaBarState"/>
  </ds:schemaRefs>
</ds:datastoreItem>
</file>

<file path=customXml/itemProps28.xml><?xml version="1.0" encoding="utf-8"?>
<ds:datastoreItem xmlns:ds="http://schemas.openxmlformats.org/officeDocument/2006/customXml" ds:itemID="{3FB6EC57-303C-4340-9873-8154249B82CC}">
  <ds:schemaRefs>
    <ds:schemaRef ds:uri="http://gemini/pivotcustomization/ShowImplicitMeasures"/>
  </ds:schemaRefs>
</ds:datastoreItem>
</file>

<file path=customXml/itemProps29.xml><?xml version="1.0" encoding="utf-8"?>
<ds:datastoreItem xmlns:ds="http://schemas.openxmlformats.org/officeDocument/2006/customXml" ds:itemID="{22CDF654-B1EA-487F-AE36-9AF4449D92E0}">
  <ds:schemaRefs>
    <ds:schemaRef ds:uri="http://gemini/pivotcustomization/ManualCalcMode"/>
  </ds:schemaRefs>
</ds:datastoreItem>
</file>

<file path=customXml/itemProps30.xml><?xml version="1.0" encoding="utf-8"?>
<ds:datastoreItem xmlns:ds="http://schemas.openxmlformats.org/officeDocument/2006/customXml" ds:itemID="{80EC7924-95AB-45F0-A4AD-B9B917649DA4}">
  <ds:schemaRefs>
    <ds:schemaRef ds:uri="http://gemini/pivotcustomization/ShowHidde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Base_Vendas</vt:lpstr>
      <vt:lpstr>Assets</vt:lpstr>
      <vt:lpstr>Calculos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</dc:creator>
  <cp:keywords/>
  <dc:description/>
  <cp:lastModifiedBy>Ericson Schmidt</cp:lastModifiedBy>
  <cp:revision/>
  <cp:lastPrinted>2025-11-23T22:46:09Z</cp:lastPrinted>
  <dcterms:created xsi:type="dcterms:W3CDTF">2025-11-15T23:23:06Z</dcterms:created>
  <dcterms:modified xsi:type="dcterms:W3CDTF">2025-11-23T22:51:20Z</dcterms:modified>
  <cp:category/>
  <cp:contentStatus/>
</cp:coreProperties>
</file>