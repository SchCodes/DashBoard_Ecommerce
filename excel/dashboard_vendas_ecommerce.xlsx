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430" documentId="11_7F4755BF84DCCE43E268565A8931F45BFA75341E" xr6:coauthVersionLast="47" xr6:coauthVersionMax="47" xr10:uidLastSave="{DFD146F3-96C3-45DB-A900-E565EC01D764}"/>
  <bookViews>
    <workbookView xWindow="240" yWindow="105" windowWidth="14805" windowHeight="8010" firstSheet="1" activeTab="1" xr2:uid="{00000000-000D-0000-FFFF-FFFF00000000}"/>
  </bookViews>
  <sheets>
    <sheet name="Base_Vendas" sheetId="1" r:id="rId1"/>
    <sheet name="Calculos" sheetId="2" r:id="rId2"/>
    <sheet name="Dashboard" sheetId="3" r:id="rId3"/>
  </sheets>
  <calcPr calcId="191028"/>
  <pivotCaches>
    <pivotCache cacheId="29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sharedStrings.xml><?xml version="1.0" encoding="utf-8"?>
<sst xmlns="http://schemas.openxmlformats.org/spreadsheetml/2006/main" count="833" uniqueCount="211">
  <si>
    <t>id_pedido</t>
  </si>
  <si>
    <t xml:space="preserve"> data_pedido</t>
  </si>
  <si>
    <t xml:space="preserve"> ano_pedido</t>
  </si>
  <si>
    <t xml:space="preserve"> mes_pedido</t>
  </si>
  <si>
    <t xml:space="preserve"> id_cliente</t>
  </si>
  <si>
    <t xml:space="preserve"> nome_cliente</t>
  </si>
  <si>
    <t xml:space="preserve"> tipo_cliente</t>
  </si>
  <si>
    <t xml:space="preserve"> cidade</t>
  </si>
  <si>
    <t xml:space="preserve"> estado</t>
  </si>
  <si>
    <t xml:space="preserve"> id_produto</t>
  </si>
  <si>
    <t xml:space="preserve"> nome_produto</t>
  </si>
  <si>
    <t xml:space="preserve"> categoria_produto</t>
  </si>
  <si>
    <t xml:space="preserve"> quantidade</t>
  </si>
  <si>
    <t xml:space="preserve"> preco_unitario</t>
  </si>
  <si>
    <t xml:space="preserve"> valor_item</t>
  </si>
  <si>
    <t xml:space="preserve"> valor_frete</t>
  </si>
  <si>
    <t xml:space="preserve"> status_pedido</t>
  </si>
  <si>
    <t xml:space="preserve"> forma_pagamento</t>
  </si>
  <si>
    <t xml:space="preserve"> status_entrega</t>
  </si>
  <si>
    <t xml:space="preserve"> data_envio</t>
  </si>
  <si>
    <t xml:space="preserve"> data_entrega</t>
  </si>
  <si>
    <t xml:space="preserve"> codigo_rastreio</t>
  </si>
  <si>
    <t>1</t>
  </si>
  <si>
    <t xml:space="preserve"> 2025-09-02 10:30:00</t>
  </si>
  <si>
    <t xml:space="preserve"> Carlos Almeida</t>
  </si>
  <si>
    <t xml:space="preserve"> PF</t>
  </si>
  <si>
    <t xml:space="preserve"> Curitiba</t>
  </si>
  <si>
    <t xml:space="preserve"> PR</t>
  </si>
  <si>
    <t xml:space="preserve"> Notebook Dell Inspiron</t>
  </si>
  <si>
    <t xml:space="preserve"> Informática</t>
  </si>
  <si>
    <t xml:space="preserve"> Pago</t>
  </si>
  <si>
    <t xml:space="preserve"> Cartão de Crédito</t>
  </si>
  <si>
    <t xml:space="preserve"> Entregue</t>
  </si>
  <si>
    <t xml:space="preserve"> 2025-09-03 00:00:00</t>
  </si>
  <si>
    <t xml:space="preserve"> 2025-09-06 00:00:00</t>
  </si>
  <si>
    <t xml:space="preserve"> BR100000001BR</t>
  </si>
  <si>
    <t xml:space="preserve"> Mouse Gamer Logitech</t>
  </si>
  <si>
    <t xml:space="preserve"> Acessórios</t>
  </si>
  <si>
    <t>2</t>
  </si>
  <si>
    <t xml:space="preserve"> 2025-09-05 14:10:00</t>
  </si>
  <si>
    <t xml:space="preserve"> Fernanda Souza</t>
  </si>
  <si>
    <t xml:space="preserve"> Londrina</t>
  </si>
  <si>
    <t xml:space="preserve"> Smartphone Samsung S23</t>
  </si>
  <si>
    <t xml:space="preserve"> Telefonia</t>
  </si>
  <si>
    <t xml:space="preserve"> Pix</t>
  </si>
  <si>
    <t xml:space="preserve"> 2025-09-09 00:00:00</t>
  </si>
  <si>
    <t xml:space="preserve"> BR100000002BR</t>
  </si>
  <si>
    <t xml:space="preserve"> Pendrive Kingston 64GB</t>
  </si>
  <si>
    <t>3</t>
  </si>
  <si>
    <t xml:space="preserve"> 2025-09-10 09:00:00</t>
  </si>
  <si>
    <t xml:space="preserve"> Marcos Lima</t>
  </si>
  <si>
    <t xml:space="preserve"> Maringá</t>
  </si>
  <si>
    <t xml:space="preserve"> Monitor LG 27\"</t>
  </si>
  <si>
    <t xml:space="preserve"> Enviado</t>
  </si>
  <si>
    <t xml:space="preserve"> Cartão de Débito</t>
  </si>
  <si>
    <t xml:space="preserve"> Em Transporte</t>
  </si>
  <si>
    <t xml:space="preserve"> 2025-09-11 00:00:00</t>
  </si>
  <si>
    <t xml:space="preserve"> NULL</t>
  </si>
  <si>
    <t xml:space="preserve"> BR100000003BR</t>
  </si>
  <si>
    <t xml:space="preserve"> Headset HyperX Cloud</t>
  </si>
  <si>
    <t>4</t>
  </si>
  <si>
    <t xml:space="preserve"> 2025-09-15 11:45:00</t>
  </si>
  <si>
    <t xml:space="preserve"> Juliana Costa</t>
  </si>
  <si>
    <t xml:space="preserve"> Ponta Grossa</t>
  </si>
  <si>
    <t xml:space="preserve"> Cadeira Gamer ThunderX3</t>
  </si>
  <si>
    <t xml:space="preserve"> Móveis</t>
  </si>
  <si>
    <t xml:space="preserve"> Cancelado</t>
  </si>
  <si>
    <t xml:space="preserve"> Boleto</t>
  </si>
  <si>
    <t>5</t>
  </si>
  <si>
    <t xml:space="preserve"> 2025-09-20 15:00:00</t>
  </si>
  <si>
    <t xml:space="preserve"> Loja Tech Solutions</t>
  </si>
  <si>
    <t xml:space="preserve"> PJ</t>
  </si>
  <si>
    <t xml:space="preserve"> São Paulo</t>
  </si>
  <si>
    <t xml:space="preserve"> SP</t>
  </si>
  <si>
    <t xml:space="preserve"> Impressora HP DeskJet</t>
  </si>
  <si>
    <t xml:space="preserve"> Periféricos</t>
  </si>
  <si>
    <t xml:space="preserve"> Em Processamento</t>
  </si>
  <si>
    <t xml:space="preserve"> Transferência</t>
  </si>
  <si>
    <t xml:space="preserve"> Pendente</t>
  </si>
  <si>
    <t xml:space="preserve"> BR100000005BR</t>
  </si>
  <si>
    <t xml:space="preserve"> Roteador TP-Link AX3000</t>
  </si>
  <si>
    <t xml:space="preserve"> Redes</t>
  </si>
  <si>
    <t>6</t>
  </si>
  <si>
    <t xml:space="preserve"> 2025-09-25 13:15:00</t>
  </si>
  <si>
    <t xml:space="preserve"> Mercado Bom Preço LTDA</t>
  </si>
  <si>
    <t xml:space="preserve"> Campinas</t>
  </si>
  <si>
    <t xml:space="preserve"> HD Externo Seagate 2TB</t>
  </si>
  <si>
    <t xml:space="preserve"> 2025-09-26 00:00:00</t>
  </si>
  <si>
    <t xml:space="preserve"> 2025-09-29 00:00:00</t>
  </si>
  <si>
    <t xml:space="preserve"> BR100000006BR</t>
  </si>
  <si>
    <t xml:space="preserve"> Smartwatch Amazfit Bip</t>
  </si>
  <si>
    <t xml:space="preserve"> Wearables</t>
  </si>
  <si>
    <t>7</t>
  </si>
  <si>
    <t xml:space="preserve"> 2025-09-28 16:20:00</t>
  </si>
  <si>
    <t xml:space="preserve"> Construtora Alpha S,A,</t>
  </si>
  <si>
    <t xml:space="preserve"> Rio de Janeiro</t>
  </si>
  <si>
    <t xml:space="preserve"> RJ</t>
  </si>
  <si>
    <t xml:space="preserve"> Webcam Logitech C920</t>
  </si>
  <si>
    <t xml:space="preserve"> BR100000007BR</t>
  </si>
  <si>
    <t>8</t>
  </si>
  <si>
    <t xml:space="preserve"> 2025-10-01 09:10:00</t>
  </si>
  <si>
    <t xml:space="preserve"> Patrícia Ribeiro</t>
  </si>
  <si>
    <t xml:space="preserve"> Joinville</t>
  </si>
  <si>
    <t xml:space="preserve"> SC</t>
  </si>
  <si>
    <t xml:space="preserve"> Caixa de Som JBL Go 3</t>
  </si>
  <si>
    <t xml:space="preserve"> Áudio</t>
  </si>
  <si>
    <t xml:space="preserve"> 2025-10-02 00:00:00</t>
  </si>
  <si>
    <t xml:space="preserve"> 2025-10-04 00:00:00</t>
  </si>
  <si>
    <t xml:space="preserve"> BR100000008BR</t>
  </si>
  <si>
    <t xml:space="preserve"> Tablet Lenovo M10</t>
  </si>
  <si>
    <t xml:space="preserve"> Tablets</t>
  </si>
  <si>
    <t>9</t>
  </si>
  <si>
    <t xml:space="preserve"> 2025-10-03 10:40:00</t>
  </si>
  <si>
    <t xml:space="preserve"> Guilherme Tavares</t>
  </si>
  <si>
    <t xml:space="preserve"> Camboriú</t>
  </si>
  <si>
    <t xml:space="preserve"> SSD Kingston 1TB</t>
  </si>
  <si>
    <t xml:space="preserve"> 2025-10-07 00:00:00</t>
  </si>
  <si>
    <t xml:space="preserve"> BR100000009BR</t>
  </si>
  <si>
    <t xml:space="preserve"> Teclado Sem Fio Logitech</t>
  </si>
  <si>
    <t>10</t>
  </si>
  <si>
    <t xml:space="preserve"> 2025-10-05 12:25:00</t>
  </si>
  <si>
    <t xml:space="preserve"> Eduardo Nascimento</t>
  </si>
  <si>
    <t xml:space="preserve"> São José dos Pinhais</t>
  </si>
  <si>
    <t xml:space="preserve"> Monitor Dell Ultrasharp 32\"</t>
  </si>
  <si>
    <t>11</t>
  </si>
  <si>
    <t xml:space="preserve"> 2025-10-07 08:45:00</t>
  </si>
  <si>
    <t xml:space="preserve"> Clínica Vida Plena LTDA</t>
  </si>
  <si>
    <t xml:space="preserve"> Teclado Mecânico Redragon</t>
  </si>
  <si>
    <t xml:space="preserve"> BR100000011BR</t>
  </si>
  <si>
    <t>12</t>
  </si>
  <si>
    <t xml:space="preserve"> 2025-10-08 15:30:00</t>
  </si>
  <si>
    <t xml:space="preserve"> Auto Center SpeedCar</t>
  </si>
  <si>
    <t xml:space="preserve"> Volta Redonda</t>
  </si>
  <si>
    <t xml:space="preserve"> Microfone Condensador Fifine</t>
  </si>
  <si>
    <t xml:space="preserve"> 2025-10-09 00:00:00</t>
  </si>
  <si>
    <t xml:space="preserve"> 2025-10-11 00:00:00</t>
  </si>
  <si>
    <t xml:space="preserve"> BR100000012BR</t>
  </si>
  <si>
    <t xml:space="preserve"> Estabilizador APC 600VA</t>
  </si>
  <si>
    <t>13</t>
  </si>
  <si>
    <t xml:space="preserve"> 2025-10-10 14:00:00</t>
  </si>
  <si>
    <t xml:space="preserve"> BR100000013BR</t>
  </si>
  <si>
    <t>14</t>
  </si>
  <si>
    <t xml:space="preserve"> 2025-10-12 10:15:00</t>
  </si>
  <si>
    <t xml:space="preserve"> Hub USB-C Baseus</t>
  </si>
  <si>
    <t xml:space="preserve"> BR100000014BR</t>
  </si>
  <si>
    <t xml:space="preserve"> Suporte Notebook Regulável</t>
  </si>
  <si>
    <t>15</t>
  </si>
  <si>
    <t xml:space="preserve"> 2025-10-14 16:10:00</t>
  </si>
  <si>
    <t xml:space="preserve"> 2025-10-15 00:00:00</t>
  </si>
  <si>
    <t xml:space="preserve"> 2025-10-18 00:00:00</t>
  </si>
  <si>
    <t xml:space="preserve"> BR100000015BR</t>
  </si>
  <si>
    <t>16</t>
  </si>
  <si>
    <t xml:space="preserve"> 2025-10-15 11:05:00</t>
  </si>
  <si>
    <t xml:space="preserve"> BR100000016BR</t>
  </si>
  <si>
    <t>17</t>
  </si>
  <si>
    <t xml:space="preserve"> 2025-10-17 09:50:00</t>
  </si>
  <si>
    <t xml:space="preserve"> 2025-10-17 00:00:00</t>
  </si>
  <si>
    <t xml:space="preserve"> 2025-10-20 00:00:00</t>
  </si>
  <si>
    <t xml:space="preserve"> BR100000017BR</t>
  </si>
  <si>
    <t>18</t>
  </si>
  <si>
    <t xml:space="preserve"> 2025-10-18 13:20:00</t>
  </si>
  <si>
    <t xml:space="preserve"> Impressora Laser Brother</t>
  </si>
  <si>
    <t xml:space="preserve"> 2025-10-19 00:00:00</t>
  </si>
  <si>
    <t xml:space="preserve"> 2025-10-22 00:00:00</t>
  </si>
  <si>
    <t xml:space="preserve"> BR100000018BR</t>
  </si>
  <si>
    <t xml:space="preserve"> Projetor Epson X10</t>
  </si>
  <si>
    <t xml:space="preserve"> Eletrônicos</t>
  </si>
  <si>
    <t>19</t>
  </si>
  <si>
    <t xml:space="preserve"> 2025-10-20 15:40:00</t>
  </si>
  <si>
    <t xml:space="preserve"> 2025-10-21 00:00:00</t>
  </si>
  <si>
    <t xml:space="preserve"> BR100000019BR</t>
  </si>
  <si>
    <t>20</t>
  </si>
  <si>
    <t xml:space="preserve"> 2025-10-21 10:00:00</t>
  </si>
  <si>
    <t xml:space="preserve"> BR100000020BR</t>
  </si>
  <si>
    <t>21</t>
  </si>
  <si>
    <t xml:space="preserve"> 2025-10-22 10:15:00</t>
  </si>
  <si>
    <t xml:space="preserve"> 2025-10-23 00:00:00</t>
  </si>
  <si>
    <t xml:space="preserve"> 2025-10-26 00:00:00</t>
  </si>
  <si>
    <t xml:space="preserve"> BR100000021BR</t>
  </si>
  <si>
    <t>22</t>
  </si>
  <si>
    <t xml:space="preserve"> 2025-10-23 11:00:00</t>
  </si>
  <si>
    <t xml:space="preserve"> BR100000022BR</t>
  </si>
  <si>
    <t>23</t>
  </si>
  <si>
    <t xml:space="preserve"> 2025-10-24 12:30:00</t>
  </si>
  <si>
    <t xml:space="preserve"> 2025-10-24 00:00:00</t>
  </si>
  <si>
    <t xml:space="preserve"> BR100000023BR</t>
  </si>
  <si>
    <t>24</t>
  </si>
  <si>
    <t xml:space="preserve"> 2025-10-25 14:15:00</t>
  </si>
  <si>
    <t xml:space="preserve"> BR100000024BR</t>
  </si>
  <si>
    <t>25</t>
  </si>
  <si>
    <t xml:space="preserve"> 2025-10-26 09:45:00</t>
  </si>
  <si>
    <t xml:space="preserve"> BR100000025BR</t>
  </si>
  <si>
    <t>Quanto vendemos por mês?</t>
  </si>
  <si>
    <t>Qual é o ticket médio por mês (faturamento / número de pedidos)?</t>
  </si>
  <si>
    <t>(Vários itens)</t>
  </si>
  <si>
    <t>(Tudo)</t>
  </si>
  <si>
    <t>Faturamento</t>
  </si>
  <si>
    <t>Qnt_Pedidos</t>
  </si>
  <si>
    <t>9 Total</t>
  </si>
  <si>
    <t>10 Total</t>
  </si>
  <si>
    <t>Total Geral</t>
  </si>
  <si>
    <t>Qual a participação de cada forma de pagamento no faturamento?</t>
  </si>
  <si>
    <t>Quais produtos mais faturam? Top 10</t>
  </si>
  <si>
    <t>Quais categorias de produto trazem mais faturamento?</t>
  </si>
  <si>
    <t>Quais clientes mais compram? Quem são os “melhores clientes”?</t>
  </si>
  <si>
    <t>Quantos pedidos temos por status?</t>
  </si>
  <si>
    <t>Qual é o faturamento por status do pedido?</t>
  </si>
  <si>
    <t>Contagem de id_pedido</t>
  </si>
  <si>
    <t>Quais cidades mais faturam?</t>
  </si>
  <si>
    <t>Faturamento Total</t>
  </si>
  <si>
    <t>Total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</si>
</sst>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&quot;R$&quot;\ #,##0.00"/>
  </numFmts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pivotButton="1" applyBorder="1"/>
    <xf numFmtId="0" fontId="0" fillId="0" borderId="0" xfId="0" applyBorder="1"/>
    <xf numFmtId="0" fontId="0" fillId="0" borderId="0" xfId="0" applyNumberFormat="1" applyBorder="1"/>
    <xf numFmtId="1" fontId="0" fillId="0" borderId="0" xfId="0" applyNumberFormat="1" applyBorder="1"/>
    <xf numFmtId="10" fontId="0" fillId="0" borderId="0" xfId="0" applyNumberForma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2" fontId="0" fillId="0" borderId="0" xfId="0" applyNumberFormat="1" applyAlignment="1">
      <alignment horizontal="center"/>
    </xf>
    <xf numFmtId="167" fontId="0" fillId="0" borderId="0" xfId="0" applyNumberFormat="1" applyBorder="1"/>
    <xf numFmtId="167" fontId="0" fillId="0" borderId="0" xfId="0" applyNumberFormat="1"/>
  </cellXfs>
  <cellStyles count="1">
    <cellStyle name="Normal" xfId="0" builtinId="0"/>
  </cellStyles>
  <dxfs count="10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0" formatCode="General"/>
    </dxf>
    <dxf>
      <numFmt numFmtId="1" formatCode="0"/>
    </dxf>
    <dxf>
      <numFmt numFmtId="1" formatCode="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" formatCode="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7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7.580326736112" createdVersion="8" refreshedVersion="8" minRefreshableVersion="3" recordCount="46" xr:uid="{CEA46479-FDA4-4085-93C6-964D30F7961E}">
  <cacheSource type="worksheet">
    <worksheetSource name="Base_Vendas"/>
  </cacheSource>
  <cacheFields count="22">
    <cacheField name="id_pedido" numFmtId="0">
      <sharedItems/>
    </cacheField>
    <cacheField name=" data_pedido" numFmtId="0">
      <sharedItems/>
    </cacheField>
    <cacheField name=" ano_pedido" numFmtId="0">
      <sharedItems containsSemiMixedTypes="0" containsString="0" containsNumber="1" containsInteger="1" minValue="2025" maxValue="2025" count="1">
        <n v="2025"/>
      </sharedItems>
    </cacheField>
    <cacheField name=" mes_pedido" numFmtId="0">
      <sharedItems containsSemiMixedTypes="0" containsString="0" containsNumber="1" containsInteger="1" minValue="9" maxValue="10" count="2">
        <n v="9"/>
        <n v="10"/>
      </sharedItems>
    </cacheField>
    <cacheField name=" id_cliente" numFmtId="0">
      <sharedItems containsSemiMixedTypes="0" containsString="0" containsNumber="1" containsInteger="1" minValue="1" maxValue="12"/>
    </cacheField>
    <cacheField name=" nome_cliente" numFmtId="0">
      <sharedItems count="12">
        <s v=" Carlos Almeida"/>
        <s v=" Fernanda Souza"/>
        <s v=" Marcos Lima"/>
        <s v=" Juliana Costa"/>
        <s v=" Loja Tech Solutions"/>
        <s v=" Mercado Bom Preço LTDA"/>
        <s v=" Construtora Alpha S,A,"/>
        <s v=" Patrícia Ribeiro"/>
        <s v=" Guilherme Tavares"/>
        <s v=" Eduardo Nascimento"/>
        <s v=" Clínica Vida Plena LTDA"/>
        <s v=" Auto Center SpeedCar"/>
      </sharedItems>
    </cacheField>
    <cacheField name=" tipo_cliente" numFmtId="0">
      <sharedItems/>
    </cacheField>
    <cacheField name=" cidade" numFmtId="0">
      <sharedItems count="11">
        <s v=" Curitiba"/>
        <s v=" Londrina"/>
        <s v=" Maringá"/>
        <s v=" Ponta Grossa"/>
        <s v=" São Paulo"/>
        <s v=" Campinas"/>
        <s v=" Rio de Janeiro"/>
        <s v=" Joinville"/>
        <s v=" Camboriú"/>
        <s v=" São José dos Pinhais"/>
        <s v=" Volta Redonda"/>
      </sharedItems>
    </cacheField>
    <cacheField name=" estado" numFmtId="0">
      <sharedItems count="4">
        <s v=" PR"/>
        <s v=" SP"/>
        <s v=" RJ"/>
        <s v=" SC"/>
      </sharedItems>
    </cacheField>
    <cacheField name=" id_produto" numFmtId="0">
      <sharedItems containsSemiMixedTypes="0" containsString="0" containsNumber="1" containsInteger="1" minValue="1" maxValue="25"/>
    </cacheField>
    <cacheField name=" nome_produto" numFmtId="0">
      <sharedItems count="24">
        <s v=" Notebook Dell Inspiron"/>
        <s v=" Mouse Gamer Logitech"/>
        <s v=" Smartphone Samsung S23"/>
        <s v=" Pendrive Kingston 64GB"/>
        <s v=" Monitor LG 27\&quot;"/>
        <s v=" Headset HyperX Cloud"/>
        <s v=" Cadeira Gamer ThunderX3"/>
        <s v=" Impressora HP DeskJet"/>
        <s v=" Roteador TP-Link AX3000"/>
        <s v=" HD Externo Seagate 2TB"/>
        <s v=" Smartwatch Amazfit Bip"/>
        <s v=" Webcam Logitech C920"/>
        <s v=" Caixa de Som JBL Go 3"/>
        <s v=" Tablet Lenovo M10"/>
        <s v=" SSD Kingston 1TB"/>
        <s v=" Teclado Sem Fio Logitech"/>
        <s v=" Monitor Dell Ultrasharp 32\&quot;"/>
        <s v=" Teclado Mecânico Redragon"/>
        <s v=" Microfone Condensador Fifine"/>
        <s v=" Estabilizador APC 600VA"/>
        <s v=" Hub USB-C Baseus"/>
        <s v=" Suporte Notebook Regulável"/>
        <s v=" Impressora Laser Brother"/>
        <s v=" Projetor Epson X10"/>
      </sharedItems>
    </cacheField>
    <cacheField name=" categoria_produto" numFmtId="0">
      <sharedItems count="10">
        <s v=" Informática"/>
        <s v=" Acessórios"/>
        <s v=" Telefonia"/>
        <s v=" Móveis"/>
        <s v=" Periféricos"/>
        <s v=" Redes"/>
        <s v=" Wearables"/>
        <s v=" Áudio"/>
        <s v=" Tablets"/>
        <s v=" Eletrônicos"/>
      </sharedItems>
    </cacheField>
    <cacheField name=" quantidade" numFmtId="0">
      <sharedItems containsSemiMixedTypes="0" containsString="0" containsNumber="1" containsInteger="1" minValue="1" maxValue="5"/>
    </cacheField>
    <cacheField name=" preco_unitario" numFmtId="44">
      <sharedItems containsSemiMixedTypes="0" containsString="0" containsNumber="1" containsInteger="1" minValue="80" maxValue="4800"/>
    </cacheField>
    <cacheField name=" valor_item" numFmtId="44">
      <sharedItems containsSemiMixedTypes="0" containsString="0" containsNumber="1" containsInteger="1" minValue="140" maxValue="4800"/>
    </cacheField>
    <cacheField name=" valor_frete" numFmtId="44">
      <sharedItems containsSemiMixedTypes="0" containsString="0" containsNumber="1" containsInteger="1" minValue="0" maxValue="60"/>
    </cacheField>
    <cacheField name=" status_pedido" numFmtId="0">
      <sharedItems count="5">
        <s v=" Pago"/>
        <s v=" Entregue"/>
        <s v=" Enviado"/>
        <s v=" Cancelado"/>
        <s v=" Em Processamento"/>
      </sharedItems>
    </cacheField>
    <cacheField name=" forma_pagamento" numFmtId="0">
      <sharedItems count="5">
        <s v=" Cartão de Crédito"/>
        <s v=" Pix"/>
        <s v=" Cartão de Débito"/>
        <s v=" Boleto"/>
        <s v=" Transferência"/>
      </sharedItems>
    </cacheField>
    <cacheField name=" status_entrega" numFmtId="0">
      <sharedItems count="4">
        <s v=" Entregue"/>
        <s v=" Em Transporte"/>
        <s v=" NULL"/>
        <s v=" Pendente"/>
      </sharedItems>
    </cacheField>
    <cacheField name=" data_envio" numFmtId="0">
      <sharedItems/>
    </cacheField>
    <cacheField name=" data_entrega" numFmtId="0">
      <sharedItems/>
    </cacheField>
    <cacheField name=" codigo_rastre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1"/>
    <s v=" 2025-09-02 10:30:00"/>
    <x v="0"/>
    <x v="0"/>
    <n v="1"/>
    <x v="0"/>
    <s v=" PF"/>
    <x v="0"/>
    <x v="0"/>
    <n v="1"/>
    <x v="0"/>
    <x v="0"/>
    <n v="1"/>
    <n v="4800"/>
    <n v="4800"/>
    <n v="35"/>
    <x v="0"/>
    <x v="0"/>
    <x v="0"/>
    <s v=" 2025-09-03 00:00:00"/>
    <s v=" 2025-09-06 00:00:00"/>
    <s v=" BR100000001BR"/>
  </r>
  <r>
    <s v="1"/>
    <s v=" 2025-09-02 10:30:00"/>
    <x v="0"/>
    <x v="0"/>
    <n v="1"/>
    <x v="0"/>
    <s v=" PF"/>
    <x v="0"/>
    <x v="0"/>
    <n v="3"/>
    <x v="1"/>
    <x v="1"/>
    <n v="1"/>
    <n v="250"/>
    <n v="250"/>
    <n v="35"/>
    <x v="0"/>
    <x v="0"/>
    <x v="0"/>
    <s v=" 2025-09-03 00:00:00"/>
    <s v=" 2025-09-06 00:00:00"/>
    <s v=" BR100000001BR"/>
  </r>
  <r>
    <s v="2"/>
    <s v=" 2025-09-05 14:10:00"/>
    <x v="0"/>
    <x v="0"/>
    <n v="2"/>
    <x v="1"/>
    <s v=" PF"/>
    <x v="1"/>
    <x v="0"/>
    <n v="2"/>
    <x v="2"/>
    <x v="2"/>
    <n v="1"/>
    <n v="3600"/>
    <n v="3600"/>
    <n v="25"/>
    <x v="1"/>
    <x v="1"/>
    <x v="0"/>
    <s v=" 2025-09-06 00:00:00"/>
    <s v=" 2025-09-09 00:00:00"/>
    <s v=" BR100000002BR"/>
  </r>
  <r>
    <s v="2"/>
    <s v=" 2025-09-05 14:10:00"/>
    <x v="0"/>
    <x v="0"/>
    <n v="2"/>
    <x v="1"/>
    <s v=" PF"/>
    <x v="1"/>
    <x v="0"/>
    <n v="9"/>
    <x v="3"/>
    <x v="1"/>
    <n v="2"/>
    <n v="80"/>
    <n v="160"/>
    <n v="25"/>
    <x v="1"/>
    <x v="1"/>
    <x v="0"/>
    <s v=" 2025-09-06 00:00:00"/>
    <s v=" 2025-09-09 00:00:00"/>
    <s v=" BR100000002BR"/>
  </r>
  <r>
    <s v="3"/>
    <s v=" 2025-09-10 09:00:00"/>
    <x v="0"/>
    <x v="0"/>
    <n v="3"/>
    <x v="2"/>
    <s v=" PF"/>
    <x v="2"/>
    <x v="0"/>
    <n v="5"/>
    <x v="4"/>
    <x v="0"/>
    <n v="1"/>
    <n v="1200"/>
    <n v="1200"/>
    <n v="40"/>
    <x v="2"/>
    <x v="2"/>
    <x v="1"/>
    <s v=" 2025-09-11 00:00:00"/>
    <s v=" NULL"/>
    <s v=" BR100000003BR"/>
  </r>
  <r>
    <s v="3"/>
    <s v=" 2025-09-10 09:00:00"/>
    <x v="0"/>
    <x v="0"/>
    <n v="3"/>
    <x v="2"/>
    <s v=" PF"/>
    <x v="2"/>
    <x v="0"/>
    <n v="6"/>
    <x v="5"/>
    <x v="1"/>
    <n v="1"/>
    <n v="450"/>
    <n v="450"/>
    <n v="40"/>
    <x v="2"/>
    <x v="2"/>
    <x v="1"/>
    <s v=" 2025-09-11 00:00:00"/>
    <s v=" NULL"/>
    <s v=" BR100000003BR"/>
  </r>
  <r>
    <s v="4"/>
    <s v=" 2025-09-15 11:45:00"/>
    <x v="0"/>
    <x v="0"/>
    <n v="4"/>
    <x v="3"/>
    <s v=" PF"/>
    <x v="3"/>
    <x v="0"/>
    <n v="7"/>
    <x v="6"/>
    <x v="3"/>
    <n v="1"/>
    <n v="1350"/>
    <n v="1350"/>
    <n v="0"/>
    <x v="3"/>
    <x v="3"/>
    <x v="2"/>
    <s v=" NULL"/>
    <s v=" NULL"/>
    <s v=" NULL"/>
  </r>
  <r>
    <s v="5"/>
    <s v=" 2025-09-20 15:00:00"/>
    <x v="0"/>
    <x v="0"/>
    <n v="5"/>
    <x v="4"/>
    <s v=" PJ"/>
    <x v="4"/>
    <x v="1"/>
    <n v="10"/>
    <x v="7"/>
    <x v="4"/>
    <n v="1"/>
    <n v="600"/>
    <n v="600"/>
    <n v="55"/>
    <x v="4"/>
    <x v="4"/>
    <x v="3"/>
    <s v=" NULL"/>
    <s v=" NULL"/>
    <s v=" BR100000005BR"/>
  </r>
  <r>
    <s v="5"/>
    <s v=" 2025-09-20 15:00:00"/>
    <x v="0"/>
    <x v="0"/>
    <n v="5"/>
    <x v="4"/>
    <s v=" PJ"/>
    <x v="4"/>
    <x v="1"/>
    <n v="14"/>
    <x v="8"/>
    <x v="5"/>
    <n v="1"/>
    <n v="700"/>
    <n v="700"/>
    <n v="55"/>
    <x v="4"/>
    <x v="4"/>
    <x v="3"/>
    <s v=" NULL"/>
    <s v=" NULL"/>
    <s v=" BR100000005BR"/>
  </r>
  <r>
    <s v="6"/>
    <s v=" 2025-09-25 13:15:00"/>
    <x v="0"/>
    <x v="0"/>
    <n v="6"/>
    <x v="5"/>
    <s v=" PJ"/>
    <x v="5"/>
    <x v="1"/>
    <n v="8"/>
    <x v="9"/>
    <x v="0"/>
    <n v="1"/>
    <n v="550"/>
    <n v="550"/>
    <n v="30"/>
    <x v="0"/>
    <x v="2"/>
    <x v="0"/>
    <s v=" 2025-09-26 00:00:00"/>
    <s v=" 2025-09-29 00:00:00"/>
    <s v=" BR100000006BR"/>
  </r>
  <r>
    <s v="6"/>
    <s v=" 2025-09-25 13:15:00"/>
    <x v="0"/>
    <x v="0"/>
    <n v="6"/>
    <x v="5"/>
    <s v=" PJ"/>
    <x v="5"/>
    <x v="1"/>
    <n v="12"/>
    <x v="10"/>
    <x v="6"/>
    <n v="1"/>
    <n v="500"/>
    <n v="500"/>
    <n v="30"/>
    <x v="0"/>
    <x v="2"/>
    <x v="0"/>
    <s v=" 2025-09-26 00:00:00"/>
    <s v=" 2025-09-29 00:00:00"/>
    <s v=" BR100000006BR"/>
  </r>
  <r>
    <s v="7"/>
    <s v=" 2025-09-28 16:20:00"/>
    <x v="0"/>
    <x v="0"/>
    <n v="7"/>
    <x v="6"/>
    <s v=" PJ"/>
    <x v="6"/>
    <x v="2"/>
    <n v="15"/>
    <x v="11"/>
    <x v="1"/>
    <n v="1"/>
    <n v="420"/>
    <n v="420"/>
    <n v="60"/>
    <x v="0"/>
    <x v="1"/>
    <x v="1"/>
    <s v=" 2025-09-29 00:00:00"/>
    <s v=" NULL"/>
    <s v=" BR100000007BR"/>
  </r>
  <r>
    <s v="7"/>
    <s v=" 2025-09-28 16:20:00"/>
    <x v="0"/>
    <x v="0"/>
    <n v="7"/>
    <x v="6"/>
    <s v=" PJ"/>
    <x v="6"/>
    <x v="2"/>
    <n v="9"/>
    <x v="3"/>
    <x v="1"/>
    <n v="3"/>
    <n v="80"/>
    <n v="240"/>
    <n v="60"/>
    <x v="0"/>
    <x v="1"/>
    <x v="1"/>
    <s v=" 2025-09-29 00:00:00"/>
    <s v=" NULL"/>
    <s v=" BR100000007BR"/>
  </r>
  <r>
    <s v="8"/>
    <s v=" 2025-10-01 09:10:00"/>
    <x v="0"/>
    <x v="1"/>
    <n v="8"/>
    <x v="7"/>
    <s v=" PF"/>
    <x v="7"/>
    <x v="3"/>
    <n v="11"/>
    <x v="12"/>
    <x v="7"/>
    <n v="2"/>
    <n v="280"/>
    <n v="560"/>
    <n v="25"/>
    <x v="1"/>
    <x v="0"/>
    <x v="0"/>
    <s v=" 2025-10-02 00:00:00"/>
    <s v=" 2025-10-04 00:00:00"/>
    <s v=" BR100000008BR"/>
  </r>
  <r>
    <s v="8"/>
    <s v=" 2025-10-01 09:10:00"/>
    <x v="0"/>
    <x v="1"/>
    <n v="8"/>
    <x v="7"/>
    <s v=" PF"/>
    <x v="7"/>
    <x v="3"/>
    <n v="13"/>
    <x v="13"/>
    <x v="8"/>
    <n v="1"/>
    <n v="1100"/>
    <n v="1100"/>
    <n v="25"/>
    <x v="1"/>
    <x v="0"/>
    <x v="0"/>
    <s v=" 2025-10-02 00:00:00"/>
    <s v=" 2025-10-04 00:00:00"/>
    <s v=" BR100000008BR"/>
  </r>
  <r>
    <s v="9"/>
    <s v=" 2025-10-03 10:40:00"/>
    <x v="0"/>
    <x v="1"/>
    <n v="9"/>
    <x v="8"/>
    <s v=" PF"/>
    <x v="8"/>
    <x v="3"/>
    <n v="18"/>
    <x v="14"/>
    <x v="0"/>
    <n v="1"/>
    <n v="720"/>
    <n v="720"/>
    <n v="30"/>
    <x v="0"/>
    <x v="3"/>
    <x v="0"/>
    <s v=" 2025-10-04 00:00:00"/>
    <s v=" 2025-10-07 00:00:00"/>
    <s v=" BR100000009BR"/>
  </r>
  <r>
    <s v="9"/>
    <s v=" 2025-10-03 10:40:00"/>
    <x v="0"/>
    <x v="1"/>
    <n v="9"/>
    <x v="8"/>
    <s v=" PF"/>
    <x v="8"/>
    <x v="3"/>
    <n v="19"/>
    <x v="15"/>
    <x v="1"/>
    <n v="1"/>
    <n v="180"/>
    <n v="180"/>
    <n v="30"/>
    <x v="0"/>
    <x v="3"/>
    <x v="0"/>
    <s v=" 2025-10-04 00:00:00"/>
    <s v=" 2025-10-07 00:00:00"/>
    <s v=" BR100000009BR"/>
  </r>
  <r>
    <s v="10"/>
    <s v=" 2025-10-05 12:25:00"/>
    <x v="0"/>
    <x v="1"/>
    <n v="10"/>
    <x v="9"/>
    <s v=" PF"/>
    <x v="9"/>
    <x v="0"/>
    <n v="20"/>
    <x v="16"/>
    <x v="0"/>
    <n v="1"/>
    <n v="3400"/>
    <n v="3400"/>
    <n v="0"/>
    <x v="3"/>
    <x v="4"/>
    <x v="2"/>
    <s v=" NULL"/>
    <s v=" NULL"/>
    <s v=" NULL"/>
  </r>
  <r>
    <s v="11"/>
    <s v=" 2025-10-07 08:45:00"/>
    <x v="0"/>
    <x v="1"/>
    <n v="11"/>
    <x v="10"/>
    <s v=" PJ"/>
    <x v="4"/>
    <x v="1"/>
    <n v="4"/>
    <x v="17"/>
    <x v="1"/>
    <n v="1"/>
    <n v="320"/>
    <n v="320"/>
    <n v="35"/>
    <x v="0"/>
    <x v="2"/>
    <x v="3"/>
    <s v=" NULL"/>
    <s v=" NULL"/>
    <s v=" BR100000011BR"/>
  </r>
  <r>
    <s v="11"/>
    <s v=" 2025-10-07 08:45:00"/>
    <x v="0"/>
    <x v="1"/>
    <n v="11"/>
    <x v="10"/>
    <s v=" PJ"/>
    <x v="4"/>
    <x v="1"/>
    <n v="5"/>
    <x v="4"/>
    <x v="0"/>
    <n v="1"/>
    <n v="1200"/>
    <n v="1200"/>
    <n v="35"/>
    <x v="0"/>
    <x v="2"/>
    <x v="3"/>
    <s v=" NULL"/>
    <s v=" NULL"/>
    <s v=" BR100000011BR"/>
  </r>
  <r>
    <s v="12"/>
    <s v=" 2025-10-08 15:30:00"/>
    <x v="0"/>
    <x v="1"/>
    <n v="12"/>
    <x v="11"/>
    <s v=" PJ"/>
    <x v="10"/>
    <x v="2"/>
    <n v="17"/>
    <x v="18"/>
    <x v="7"/>
    <n v="1"/>
    <n v="480"/>
    <n v="480"/>
    <n v="20"/>
    <x v="1"/>
    <x v="1"/>
    <x v="0"/>
    <s v=" 2025-10-09 00:00:00"/>
    <s v=" 2025-10-11 00:00:00"/>
    <s v=" BR100000012BR"/>
  </r>
  <r>
    <s v="12"/>
    <s v=" 2025-10-08 15:30:00"/>
    <x v="0"/>
    <x v="1"/>
    <n v="12"/>
    <x v="11"/>
    <s v=" PJ"/>
    <x v="10"/>
    <x v="2"/>
    <n v="23"/>
    <x v="19"/>
    <x v="4"/>
    <n v="1"/>
    <n v="390"/>
    <n v="390"/>
    <n v="20"/>
    <x v="1"/>
    <x v="1"/>
    <x v="0"/>
    <s v=" 2025-10-09 00:00:00"/>
    <s v=" 2025-10-11 00:00:00"/>
    <s v=" BR100000012BR"/>
  </r>
  <r>
    <s v="13"/>
    <s v=" 2025-10-10 14:00:00"/>
    <x v="0"/>
    <x v="1"/>
    <n v="1"/>
    <x v="0"/>
    <s v=" PF"/>
    <x v="0"/>
    <x v="0"/>
    <n v="2"/>
    <x v="2"/>
    <x v="2"/>
    <n v="1"/>
    <n v="3600"/>
    <n v="3600"/>
    <n v="25"/>
    <x v="0"/>
    <x v="3"/>
    <x v="1"/>
    <s v=" 2025-10-11 00:00:00"/>
    <s v=" NULL"/>
    <s v=" BR100000013BR"/>
  </r>
  <r>
    <s v="14"/>
    <s v=" 2025-10-12 10:15:00"/>
    <x v="0"/>
    <x v="1"/>
    <n v="3"/>
    <x v="2"/>
    <s v=" PF"/>
    <x v="2"/>
    <x v="0"/>
    <n v="21"/>
    <x v="20"/>
    <x v="1"/>
    <n v="1"/>
    <n v="210"/>
    <n v="210"/>
    <n v="40"/>
    <x v="2"/>
    <x v="4"/>
    <x v="3"/>
    <s v=" NULL"/>
    <s v=" NULL"/>
    <s v=" BR100000014BR"/>
  </r>
  <r>
    <s v="14"/>
    <s v=" 2025-10-12 10:15:00"/>
    <x v="0"/>
    <x v="1"/>
    <n v="3"/>
    <x v="2"/>
    <s v=" PF"/>
    <x v="2"/>
    <x v="0"/>
    <n v="22"/>
    <x v="21"/>
    <x v="1"/>
    <n v="1"/>
    <n v="140"/>
    <n v="140"/>
    <n v="40"/>
    <x v="2"/>
    <x v="4"/>
    <x v="3"/>
    <s v=" NULL"/>
    <s v=" NULL"/>
    <s v=" BR100000014BR"/>
  </r>
  <r>
    <s v="15"/>
    <s v=" 2025-10-14 16:10:00"/>
    <x v="0"/>
    <x v="1"/>
    <n v="2"/>
    <x v="1"/>
    <s v=" PF"/>
    <x v="1"/>
    <x v="0"/>
    <n v="3"/>
    <x v="1"/>
    <x v="1"/>
    <n v="2"/>
    <n v="250"/>
    <n v="500"/>
    <n v="35"/>
    <x v="0"/>
    <x v="1"/>
    <x v="0"/>
    <s v=" 2025-10-15 00:00:00"/>
    <s v=" 2025-10-18 00:00:00"/>
    <s v=" BR100000015BR"/>
  </r>
  <r>
    <s v="15"/>
    <s v=" 2025-10-14 16:10:00"/>
    <x v="0"/>
    <x v="1"/>
    <n v="2"/>
    <x v="1"/>
    <s v=" PF"/>
    <x v="1"/>
    <x v="0"/>
    <n v="18"/>
    <x v="14"/>
    <x v="0"/>
    <n v="1"/>
    <n v="720"/>
    <n v="720"/>
    <n v="35"/>
    <x v="0"/>
    <x v="1"/>
    <x v="0"/>
    <s v=" 2025-10-15 00:00:00"/>
    <s v=" 2025-10-18 00:00:00"/>
    <s v=" BR100000015BR"/>
  </r>
  <r>
    <s v="16"/>
    <s v=" 2025-10-15 11:05:00"/>
    <x v="0"/>
    <x v="1"/>
    <n v="8"/>
    <x v="7"/>
    <s v=" PF"/>
    <x v="7"/>
    <x v="3"/>
    <n v="6"/>
    <x v="5"/>
    <x v="1"/>
    <n v="1"/>
    <n v="450"/>
    <n v="450"/>
    <n v="50"/>
    <x v="4"/>
    <x v="0"/>
    <x v="3"/>
    <s v=" NULL"/>
    <s v=" NULL"/>
    <s v=" BR100000016BR"/>
  </r>
  <r>
    <s v="16"/>
    <s v=" 2025-10-15 11:05:00"/>
    <x v="0"/>
    <x v="1"/>
    <n v="8"/>
    <x v="7"/>
    <s v=" PF"/>
    <x v="7"/>
    <x v="3"/>
    <n v="9"/>
    <x v="3"/>
    <x v="1"/>
    <n v="5"/>
    <n v="80"/>
    <n v="400"/>
    <n v="50"/>
    <x v="4"/>
    <x v="0"/>
    <x v="3"/>
    <s v=" NULL"/>
    <s v=" NULL"/>
    <s v=" BR100000016BR"/>
  </r>
  <r>
    <s v="17"/>
    <s v=" 2025-10-17 09:50:00"/>
    <x v="0"/>
    <x v="1"/>
    <n v="9"/>
    <x v="8"/>
    <s v=" PF"/>
    <x v="8"/>
    <x v="3"/>
    <n v="10"/>
    <x v="7"/>
    <x v="4"/>
    <n v="1"/>
    <n v="600"/>
    <n v="600"/>
    <n v="30"/>
    <x v="0"/>
    <x v="2"/>
    <x v="0"/>
    <s v=" 2025-10-17 00:00:00"/>
    <s v=" 2025-10-20 00:00:00"/>
    <s v=" BR100000017BR"/>
  </r>
  <r>
    <s v="17"/>
    <s v=" 2025-10-17 09:50:00"/>
    <x v="0"/>
    <x v="1"/>
    <n v="9"/>
    <x v="8"/>
    <s v=" PF"/>
    <x v="8"/>
    <x v="3"/>
    <n v="14"/>
    <x v="8"/>
    <x v="5"/>
    <n v="1"/>
    <n v="700"/>
    <n v="700"/>
    <n v="30"/>
    <x v="0"/>
    <x v="2"/>
    <x v="0"/>
    <s v=" 2025-10-17 00:00:00"/>
    <s v=" 2025-10-20 00:00:00"/>
    <s v=" BR100000017BR"/>
  </r>
  <r>
    <s v="18"/>
    <s v=" 2025-10-18 13:20:00"/>
    <x v="0"/>
    <x v="1"/>
    <n v="10"/>
    <x v="9"/>
    <s v=" PF"/>
    <x v="9"/>
    <x v="0"/>
    <n v="24"/>
    <x v="22"/>
    <x v="4"/>
    <n v="1"/>
    <n v="980"/>
    <n v="980"/>
    <n v="25"/>
    <x v="1"/>
    <x v="1"/>
    <x v="0"/>
    <s v=" 2025-10-19 00:00:00"/>
    <s v=" 2025-10-22 00:00:00"/>
    <s v=" BR100000018BR"/>
  </r>
  <r>
    <s v="18"/>
    <s v=" 2025-10-18 13:20:00"/>
    <x v="0"/>
    <x v="1"/>
    <n v="10"/>
    <x v="9"/>
    <s v=" PF"/>
    <x v="9"/>
    <x v="0"/>
    <n v="25"/>
    <x v="23"/>
    <x v="9"/>
    <n v="1"/>
    <n v="2500"/>
    <n v="2500"/>
    <n v="25"/>
    <x v="1"/>
    <x v="1"/>
    <x v="0"/>
    <s v=" 2025-10-19 00:00:00"/>
    <s v=" 2025-10-22 00:00:00"/>
    <s v=" BR100000018BR"/>
  </r>
  <r>
    <s v="19"/>
    <s v=" 2025-10-20 15:40:00"/>
    <x v="0"/>
    <x v="1"/>
    <n v="11"/>
    <x v="10"/>
    <s v=" PJ"/>
    <x v="4"/>
    <x v="1"/>
    <n v="1"/>
    <x v="0"/>
    <x v="0"/>
    <n v="1"/>
    <n v="4800"/>
    <n v="4800"/>
    <n v="40"/>
    <x v="0"/>
    <x v="0"/>
    <x v="1"/>
    <s v=" 2025-10-21 00:00:00"/>
    <s v=" NULL"/>
    <s v=" BR100000019BR"/>
  </r>
  <r>
    <s v="19"/>
    <s v=" 2025-10-20 15:40:00"/>
    <x v="0"/>
    <x v="1"/>
    <n v="11"/>
    <x v="10"/>
    <s v=" PJ"/>
    <x v="4"/>
    <x v="1"/>
    <n v="7"/>
    <x v="6"/>
    <x v="3"/>
    <n v="1"/>
    <n v="1350"/>
    <n v="1350"/>
    <n v="40"/>
    <x v="0"/>
    <x v="0"/>
    <x v="1"/>
    <s v=" 2025-10-21 00:00:00"/>
    <s v=" NULL"/>
    <s v=" BR100000019BR"/>
  </r>
  <r>
    <s v="20"/>
    <s v=" 2025-10-21 10:00:00"/>
    <x v="0"/>
    <x v="1"/>
    <n v="12"/>
    <x v="11"/>
    <s v=" PJ"/>
    <x v="10"/>
    <x v="2"/>
    <n v="11"/>
    <x v="12"/>
    <x v="7"/>
    <n v="1"/>
    <n v="280"/>
    <n v="280"/>
    <n v="45"/>
    <x v="4"/>
    <x v="4"/>
    <x v="3"/>
    <s v=" NULL"/>
    <s v=" NULL"/>
    <s v=" BR100000020BR"/>
  </r>
  <r>
    <s v="20"/>
    <s v=" 2025-10-21 10:00:00"/>
    <x v="0"/>
    <x v="1"/>
    <n v="12"/>
    <x v="11"/>
    <s v=" PJ"/>
    <x v="10"/>
    <x v="2"/>
    <n v="13"/>
    <x v="13"/>
    <x v="8"/>
    <n v="1"/>
    <n v="1100"/>
    <n v="1100"/>
    <n v="45"/>
    <x v="4"/>
    <x v="4"/>
    <x v="3"/>
    <s v=" NULL"/>
    <s v=" NULL"/>
    <s v=" BR100000020BR"/>
  </r>
  <r>
    <s v="21"/>
    <s v=" 2025-10-22 10:15:00"/>
    <x v="0"/>
    <x v="1"/>
    <n v="5"/>
    <x v="4"/>
    <s v=" PJ"/>
    <x v="4"/>
    <x v="1"/>
    <n v="8"/>
    <x v="9"/>
    <x v="0"/>
    <n v="2"/>
    <n v="550"/>
    <n v="1100"/>
    <n v="30"/>
    <x v="1"/>
    <x v="0"/>
    <x v="0"/>
    <s v=" 2025-10-23 00:00:00"/>
    <s v=" 2025-10-26 00:00:00"/>
    <s v=" BR100000021BR"/>
  </r>
  <r>
    <s v="22"/>
    <s v=" 2025-10-23 11:00:00"/>
    <x v="0"/>
    <x v="1"/>
    <n v="6"/>
    <x v="5"/>
    <s v=" PJ"/>
    <x v="5"/>
    <x v="1"/>
    <n v="12"/>
    <x v="10"/>
    <x v="6"/>
    <n v="1"/>
    <n v="500"/>
    <n v="500"/>
    <n v="30"/>
    <x v="0"/>
    <x v="2"/>
    <x v="0"/>
    <s v=" 2025-10-23 00:00:00"/>
    <s v=" 2025-10-26 00:00:00"/>
    <s v=" BR100000022BR"/>
  </r>
  <r>
    <s v="22"/>
    <s v=" 2025-10-23 11:00:00"/>
    <x v="0"/>
    <x v="1"/>
    <n v="6"/>
    <x v="5"/>
    <s v=" PJ"/>
    <x v="5"/>
    <x v="1"/>
    <n v="15"/>
    <x v="11"/>
    <x v="1"/>
    <n v="1"/>
    <n v="420"/>
    <n v="420"/>
    <n v="30"/>
    <x v="0"/>
    <x v="2"/>
    <x v="0"/>
    <s v=" 2025-10-23 00:00:00"/>
    <s v=" 2025-10-26 00:00:00"/>
    <s v=" BR100000022BR"/>
  </r>
  <r>
    <s v="23"/>
    <s v=" 2025-10-24 12:30:00"/>
    <x v="0"/>
    <x v="1"/>
    <n v="7"/>
    <x v="6"/>
    <s v=" PJ"/>
    <x v="6"/>
    <x v="2"/>
    <n v="19"/>
    <x v="15"/>
    <x v="1"/>
    <n v="1"/>
    <n v="180"/>
    <n v="180"/>
    <n v="35"/>
    <x v="0"/>
    <x v="1"/>
    <x v="1"/>
    <s v=" 2025-10-24 00:00:00"/>
    <s v=" NULL"/>
    <s v=" BR100000023BR"/>
  </r>
  <r>
    <s v="23"/>
    <s v=" 2025-10-24 12:30:00"/>
    <x v="0"/>
    <x v="1"/>
    <n v="7"/>
    <x v="6"/>
    <s v=" PJ"/>
    <x v="6"/>
    <x v="2"/>
    <n v="3"/>
    <x v="1"/>
    <x v="1"/>
    <n v="2"/>
    <n v="250"/>
    <n v="500"/>
    <n v="35"/>
    <x v="0"/>
    <x v="1"/>
    <x v="1"/>
    <s v=" 2025-10-24 00:00:00"/>
    <s v=" NULL"/>
    <s v=" BR100000023BR"/>
  </r>
  <r>
    <s v="24"/>
    <s v=" 2025-10-25 14:15:00"/>
    <x v="0"/>
    <x v="1"/>
    <n v="8"/>
    <x v="7"/>
    <s v=" PF"/>
    <x v="7"/>
    <x v="3"/>
    <n v="9"/>
    <x v="3"/>
    <x v="1"/>
    <n v="5"/>
    <n v="80"/>
    <n v="400"/>
    <n v="25"/>
    <x v="0"/>
    <x v="0"/>
    <x v="3"/>
    <s v=" NULL"/>
    <s v=" NULL"/>
    <s v=" BR100000024BR"/>
  </r>
  <r>
    <s v="24"/>
    <s v=" 2025-10-25 14:15:00"/>
    <x v="0"/>
    <x v="1"/>
    <n v="8"/>
    <x v="7"/>
    <s v=" PF"/>
    <x v="7"/>
    <x v="3"/>
    <n v="6"/>
    <x v="5"/>
    <x v="1"/>
    <n v="1"/>
    <n v="450"/>
    <n v="450"/>
    <n v="25"/>
    <x v="0"/>
    <x v="0"/>
    <x v="3"/>
    <s v=" NULL"/>
    <s v=" NULL"/>
    <s v=" BR100000024BR"/>
  </r>
  <r>
    <s v="25"/>
    <s v=" 2025-10-26 09:45:00"/>
    <x v="0"/>
    <x v="1"/>
    <n v="9"/>
    <x v="8"/>
    <s v=" PF"/>
    <x v="8"/>
    <x v="3"/>
    <n v="4"/>
    <x v="17"/>
    <x v="1"/>
    <n v="1"/>
    <n v="320"/>
    <n v="320"/>
    <n v="0"/>
    <x v="3"/>
    <x v="3"/>
    <x v="3"/>
    <s v=" NULL"/>
    <s v=" NULL"/>
    <s v=" BR100000025BR"/>
  </r>
  <r>
    <s v="25"/>
    <s v=" 2025-10-26 09:45:00"/>
    <x v="0"/>
    <x v="1"/>
    <n v="9"/>
    <x v="8"/>
    <s v=" PF"/>
    <x v="8"/>
    <x v="3"/>
    <n v="5"/>
    <x v="4"/>
    <x v="0"/>
    <n v="1"/>
    <n v="1200"/>
    <n v="1200"/>
    <n v="0"/>
    <x v="3"/>
    <x v="3"/>
    <x v="3"/>
    <s v=" NULL"/>
    <s v=" NULL"/>
    <s v=" BR100000025B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5A2B2-525A-44BC-97BE-8BB4EFDF80E5}" name="Tabela dinâmica11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F82:F83" firstHeaderRow="1" firstDataRow="1" firstDataCol="0" rowPageCount="4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 sortType="descending">
      <items count="12">
        <item x="8"/>
        <item x="5"/>
        <item x="0"/>
        <item x="7"/>
        <item x="1"/>
        <item x="2"/>
        <item x="3"/>
        <item x="6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h="1" x="2"/>
        <item x="3"/>
        <item t="default"/>
      </items>
    </pivotField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4">
    <pageField fld="2" hier="-1"/>
    <pageField fld="3" hier="-1"/>
    <pageField fld="18" hier="-1"/>
    <pageField fld="16" hier="-1"/>
  </pageFields>
  <dataFields count="1">
    <dataField name="Faturamento" fld="14" baseField="0" baseItem="0" numFmtId="167"/>
  </dataFields>
  <formats count="7"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3" type="button" dataOnly="0" labelOnly="1" outline="0" axis="axisPage" fieldPosition="1"/>
    </format>
    <format dxfId="104">
      <pivotArea field="2" type="button" dataOnly="0" labelOnly="1" outline="0" axis="axisPage" fieldPosition="0"/>
    </format>
    <format dxfId="105">
      <pivotArea dataOnly="0" labelOnly="1" grandRow="1" outline="0" fieldPosition="0"/>
    </format>
    <format dxfId="106">
      <pivotArea dataOnly="0" labelOnly="1" outline="0" axis="axisValues" fieldPosition="0"/>
    </format>
    <format dxfId="107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2D2D-64D7-42FD-B803-E39ACF32F827}" name="Tabela dinâmica10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F70:F71" firstHeaderRow="1" firstDataRow="1" firstDataCol="0" rowPageCount="4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 sortType="descending">
      <items count="12">
        <item x="8"/>
        <item x="5"/>
        <item x="0"/>
        <item x="7"/>
        <item x="1"/>
        <item x="2"/>
        <item x="3"/>
        <item x="6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h="1" x="2"/>
        <item x="3"/>
        <item t="default"/>
      </items>
    </pivotField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4">
    <pageField fld="2" hier="-1"/>
    <pageField fld="3" hier="-1"/>
    <pageField fld="18" hier="-1"/>
    <pageField fld="16" hier="-1"/>
  </pageFields>
  <dataFields count="1">
    <dataField name="Faturamento" fld="14" baseField="0" baseItem="0" numFmtId="167"/>
  </dataFields>
  <formats count="7">
    <format dxfId="94">
      <pivotArea type="all" dataOnly="0" outline="0" fieldPosition="0"/>
    </format>
    <format dxfId="95">
      <pivotArea outline="0" collapsedLevelsAreSubtotals="1" fieldPosition="0"/>
    </format>
    <format dxfId="96">
      <pivotArea field="3" type="button" dataOnly="0" labelOnly="1" outline="0" axis="axisPage" fieldPosition="1"/>
    </format>
    <format dxfId="97">
      <pivotArea field="2" type="button" dataOnly="0" labelOnly="1" outline="0" axis="axisPage" fieldPosition="0"/>
    </format>
    <format dxfId="98">
      <pivotArea dataOnly="0" labelOnly="1" grandRow="1" outline="0" fieldPosition="0"/>
    </format>
    <format dxfId="99">
      <pivotArea dataOnly="0" labelOnly="1" outline="0" axis="axisValues" fieldPosition="0"/>
    </format>
    <format dxfId="10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C16F4-6BFE-4A1A-9AEC-14C2FAC42BEB}" name="Tabela dinâmica9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B70:C80" firstHeaderRow="1" firstDataRow="1" firstDataCol="1" rowPageCount="4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12">
        <item x="8"/>
        <item x="5"/>
        <item x="0"/>
        <item x="7"/>
        <item x="1"/>
        <item x="2"/>
        <item x="3"/>
        <item x="6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h="1"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10">
    <i>
      <x v="9"/>
    </i>
    <i>
      <x v="2"/>
    </i>
    <i>
      <x v="4"/>
    </i>
    <i>
      <x v="8"/>
    </i>
    <i>
      <x v="3"/>
    </i>
    <i>
      <x v="10"/>
    </i>
    <i>
      <x/>
    </i>
    <i>
      <x v="5"/>
    </i>
    <i>
      <x v="1"/>
    </i>
    <i>
      <x v="7"/>
    </i>
  </rowItems>
  <colItems count="1">
    <i/>
  </colItems>
  <pageFields count="4">
    <pageField fld="2" hier="-1"/>
    <pageField fld="3" hier="-1"/>
    <pageField fld="18" hier="-1"/>
    <pageField fld="16" hier="-1"/>
  </pageFields>
  <dataFields count="1">
    <dataField name="Faturamento" fld="14" baseField="0" baseItem="0" numFmtId="167"/>
  </dataFields>
  <formats count="7"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3" type="button" dataOnly="0" labelOnly="1" outline="0" axis="axisPage" fieldPosition="1"/>
    </format>
    <format dxfId="90">
      <pivotArea field="2" type="button" dataOnly="0" labelOnly="1" outline="0" axis="axisPage" fieldPosition="0"/>
    </format>
    <format dxfId="91">
      <pivotArea dataOnly="0" labelOnly="1" grandRow="1" outline="0" fieldPosition="0"/>
    </format>
    <format dxfId="92">
      <pivotArea dataOnly="0" labelOnly="1" outline="0" axis="axisValues" fieldPosition="0"/>
    </format>
    <format dxfId="93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817A4-F7C1-451D-80C0-E0F00DE17756}" name="Tabela dinâmica8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I47:J51" firstHeaderRow="1" firstDataRow="1" firstDataCol="1" rowPageCount="3" colPageCount="1"/>
  <pivotFields count="22">
    <pivotField dataField="1"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6"/>
  </rowFields>
  <rowItems count="4">
    <i>
      <x v="1"/>
    </i>
    <i>
      <x v="2"/>
    </i>
    <i>
      <x v="3"/>
    </i>
    <i>
      <x v="4"/>
    </i>
  </rowItems>
  <colItems count="1">
    <i/>
  </colItems>
  <pageFields count="3">
    <pageField fld="2" hier="-1"/>
    <pageField fld="3" hier="-1"/>
    <pageField fld="18" hier="-1"/>
  </pageFields>
  <dataFields count="1">
    <dataField name="Contagem de id_pedido" fld="0" subtotal="count" baseField="0" baseItem="0" numFmtId="1"/>
  </dataFields>
  <formats count="7"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3" type="button" dataOnly="0" labelOnly="1" outline="0" axis="axisPage" fieldPosition="1"/>
    </format>
    <format dxfId="83">
      <pivotArea field="2" type="button" dataOnly="0" labelOnly="1" outline="0" axis="axisPage" fieldPosition="0"/>
    </format>
    <format dxfId="84">
      <pivotArea dataOnly="0" labelOnly="1" grandRow="1" outline="0" fieldPosition="0"/>
    </format>
    <format dxfId="85">
      <pivotArea dataOnly="0" labelOnly="1" outline="0" axis="axisValues" fieldPosition="0"/>
    </format>
    <format dxfId="8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43B9E-E695-47F0-8E03-D3FDC53896D4}" name="Tabela dinâmica5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F47:G51" firstHeaderRow="1" firstDataRow="1" firstDataCol="1" rowPageCount="3" colPageCount="1"/>
  <pivotFields count="22">
    <pivotField dataField="1"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6"/>
  </rowFields>
  <rowItems count="4">
    <i>
      <x v="1"/>
    </i>
    <i>
      <x v="2"/>
    </i>
    <i>
      <x v="3"/>
    </i>
    <i>
      <x v="4"/>
    </i>
  </rowItems>
  <colItems count="1">
    <i/>
  </colItems>
  <pageFields count="3">
    <pageField fld="2" hier="-1"/>
    <pageField fld="3" hier="-1"/>
    <pageField fld="18" hier="-1"/>
  </pageFields>
  <dataFields count="1">
    <dataField name="Qnt_Pedidos" fld="0" subtotal="count" baseField="0" baseItem="0"/>
  </dataFields>
  <formats count="9"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3" type="button" dataOnly="0" labelOnly="1" outline="0" axis="axisPage" fieldPosition="1"/>
    </format>
    <format dxfId="74">
      <pivotArea field="2" type="button" dataOnly="0" labelOnly="1" outline="0" axis="axisPage" fieldPosition="0"/>
    </format>
    <format dxfId="75">
      <pivotArea dataOnly="0" labelOnly="1" grandRow="1" outline="0" fieldPosition="0"/>
    </format>
    <format dxfId="76">
      <pivotArea dataOnly="0" labelOnly="1" outline="0" axis="axisValues" fieldPosition="0"/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">
      <pivotArea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format>
    <format dxfId="79">
      <pivotArea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06005-D2F9-4001-8A98-F74232CF0E48}" name="Tabela dinâmica1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7:D12" firstHeaderRow="1" firstDataRow="1" firstDataCol="2" rowPageCount="2" colPageCount="1"/>
  <pivotFields count="22"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3"/>
    <field x="2"/>
  </rowFields>
  <rowItems count="5">
    <i>
      <x/>
      <x/>
    </i>
    <i t="default">
      <x/>
    </i>
    <i>
      <x v="1"/>
      <x/>
    </i>
    <i t="default">
      <x v="1"/>
    </i>
    <i t="grand">
      <x/>
    </i>
  </rowItems>
  <colItems count="1">
    <i/>
  </colItems>
  <pageFields count="2">
    <pageField fld="16" hier="-1"/>
    <pageField fld="18" hier="-1"/>
  </pageFields>
  <dataFields count="1">
    <dataField name="Faturamento" fld="14" baseField="0" baseItem="0" numFmtId="167"/>
  </dataFields>
  <formats count="11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3" type="button" dataOnly="0" labelOnly="1" outline="0" axis="axisRow" fieldPosition="0"/>
    </format>
    <format dxfId="63">
      <pivotArea field="2" type="button" dataOnly="0" labelOnly="1" outline="0" axis="axisRow" fieldPosition="1"/>
    </format>
    <format dxfId="64">
      <pivotArea dataOnly="0" labelOnly="1" outline="0" fieldPosition="0">
        <references count="1">
          <reference field="3" count="0"/>
        </references>
      </pivotArea>
    </format>
    <format dxfId="65">
      <pivotArea dataOnly="0" labelOnly="1" outline="0" fieldPosition="0">
        <references count="1">
          <reference field="3" count="0" defaultSubtotal="1"/>
        </references>
      </pivotArea>
    </format>
    <format dxfId="66">
      <pivotArea dataOnly="0" labelOnly="1" grandRow="1" outline="0" fieldPosition="0"/>
    </format>
    <format dxfId="67">
      <pivotArea dataOnly="0" labelOnly="1" outline="0" fieldPosition="0">
        <references count="2">
          <reference field="2" count="0"/>
          <reference field="3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2" count="0"/>
          <reference field="3" count="1" selected="0">
            <x v="1"/>
          </reference>
        </references>
      </pivotArea>
    </format>
    <format dxfId="69">
      <pivotArea dataOnly="0" labelOnly="1" outline="0" axis="axisValues" fieldPosition="0"/>
    </format>
    <format dxfId="7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0074E-E5E1-46B8-9FC9-6CD69F0F2966}" name="Tabela dinâmica4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23:G34" firstHeaderRow="1" firstDataRow="1" firstDataCol="1" rowPageCount="3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1">
        <item x="1"/>
        <item x="7"/>
        <item x="9"/>
        <item x="0"/>
        <item x="3"/>
        <item x="4"/>
        <item x="5"/>
        <item x="8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1">
    <i>
      <x v="3"/>
    </i>
    <i>
      <x v="8"/>
    </i>
    <i>
      <x/>
    </i>
    <i>
      <x v="5"/>
    </i>
    <i>
      <x v="2"/>
    </i>
    <i>
      <x v="7"/>
    </i>
    <i>
      <x v="6"/>
    </i>
    <i>
      <x v="4"/>
    </i>
    <i>
      <x v="1"/>
    </i>
    <i>
      <x v="9"/>
    </i>
    <i t="grand">
      <x/>
    </i>
  </rowItems>
  <colItems count="1">
    <i/>
  </colItems>
  <pageFields count="3">
    <pageField fld="2" hier="-1"/>
    <pageField fld="3" hier="-1"/>
    <pageField fld="16" hier="-1"/>
  </pageFields>
  <dataFields count="1">
    <dataField name="Faturamento" fld="14" showDataAs="percentOfTotal" baseField="0" baseItem="0" numFmtId="10"/>
  </dataFields>
  <formats count="6"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3" type="button" dataOnly="0" labelOnly="1" outline="0" axis="axisPage" fieldPosition="1"/>
    </format>
    <format dxfId="57">
      <pivotArea field="2" type="button" dataOnly="0" labelOnly="1" outline="0" axis="axisPage" fieldPosition="0"/>
    </format>
    <format dxfId="58">
      <pivotArea dataOnly="0" labelOnly="1" grandRow="1" outline="0" fieldPosition="0"/>
    </format>
    <format dxfId="59">
      <pivotArea dataOnly="0" labelOnly="1" outline="0" axis="axisValues" fieldPosition="0"/>
    </format>
  </formats>
  <pivotTableStyleInfo name="PivotStyleMedium9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C0E12-5C0A-466C-A844-4AF7D5BB95F9}" name="Tabela dinâmica3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22:C33" firstHeaderRow="1" firstDataRow="1" firstDataCol="1" rowPageCount="3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5">
        <item x="6"/>
        <item x="12"/>
        <item x="19"/>
        <item x="9"/>
        <item x="5"/>
        <item x="20"/>
        <item x="7"/>
        <item x="22"/>
        <item x="18"/>
        <item x="16"/>
        <item x="4"/>
        <item x="1"/>
        <item x="0"/>
        <item x="3"/>
        <item x="23"/>
        <item x="8"/>
        <item x="2"/>
        <item x="10"/>
        <item x="14"/>
        <item x="21"/>
        <item x="13"/>
        <item x="17"/>
        <item x="1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1">
    <i>
      <x v="12"/>
    </i>
    <i>
      <x v="16"/>
    </i>
    <i>
      <x v="14"/>
    </i>
    <i>
      <x v="10"/>
    </i>
    <i>
      <x v="20"/>
    </i>
    <i>
      <x v="3"/>
    </i>
    <i>
      <x v="18"/>
    </i>
    <i>
      <x v="15"/>
    </i>
    <i>
      <x v="4"/>
    </i>
    <i>
      <x/>
    </i>
    <i t="grand">
      <x/>
    </i>
  </rowItems>
  <colItems count="1">
    <i/>
  </colItems>
  <pageFields count="3">
    <pageField fld="2" hier="-1"/>
    <pageField fld="3" hier="-1"/>
    <pageField fld="16" hier="-1"/>
  </pageFields>
  <dataFields count="1">
    <dataField name="Faturamento" fld="14" baseField="0" baseItem="0" numFmtId="167"/>
  </dataFields>
  <formats count="7"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3" type="button" dataOnly="0" labelOnly="1" outline="0" axis="axisPage" fieldPosition="1"/>
    </format>
    <format dxfId="50">
      <pivotArea field="2" type="button" dataOnly="0" labelOnly="1" outline="0" axis="axisPage" fieldPosition="0"/>
    </format>
    <format dxfId="51">
      <pivotArea dataOnly="0" labelOnly="1" grandRow="1" outline="0" fieldPosition="0"/>
    </format>
    <format dxfId="52">
      <pivotArea dataOnly="0" labelOnly="1" outline="0" axis="axisValues" fieldPosition="0"/>
    </format>
    <format dxfId="53">
      <pivotArea outline="0" collapsedLevelsAreSubtotals="1" fieldPosition="0"/>
    </format>
  </formats>
  <pivotTableStyleInfo name="PivotStyleMedium9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FDDB4-1F53-4A04-B1B7-8984193E63EF}" name="Tabela dinâmica7" cacheId="29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B47:D59" firstHeaderRow="0" firstDataRow="1" firstDataCol="1" rowPageCount="3" colPageCount="1"/>
  <pivotFields count="22">
    <pivotField dataField="1"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 sortType="descending">
      <items count="13">
        <item x="11"/>
        <item x="0"/>
        <item x="10"/>
        <item x="6"/>
        <item x="9"/>
        <item x="1"/>
        <item x="8"/>
        <item x="3"/>
        <item x="4"/>
        <item x="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multipleItemSelectionAllowed="1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 v="1"/>
    </i>
    <i>
      <x v="2"/>
    </i>
    <i>
      <x v="4"/>
    </i>
    <i>
      <x v="5"/>
    </i>
    <i>
      <x v="6"/>
    </i>
    <i>
      <x v="11"/>
    </i>
    <i>
      <x v="8"/>
    </i>
    <i>
      <x/>
    </i>
    <i>
      <x v="9"/>
    </i>
    <i>
      <x v="10"/>
    </i>
    <i>
      <x v="7"/>
    </i>
    <i>
      <x v="3"/>
    </i>
  </rowItems>
  <colFields count="1">
    <field x="-2"/>
  </colFields>
  <colItems count="2">
    <i>
      <x/>
    </i>
    <i i="1">
      <x v="1"/>
    </i>
  </colItems>
  <pageFields count="3">
    <pageField fld="2" hier="-1"/>
    <pageField fld="3" hier="-1"/>
    <pageField fld="8" hier="-1"/>
  </pageFields>
  <dataFields count="2">
    <dataField name="Faturamento" fld="14" baseField="14" baseItem="0" numFmtId="167"/>
    <dataField name="Qnt_Pedidos" fld="0" subtotal="count" baseField="0" baseItem="0"/>
  </dataFields>
  <formats count="7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3" type="button" dataOnly="0" labelOnly="1" outline="0" axis="axisPage" fieldPosition="1"/>
    </format>
    <format dxfId="43">
      <pivotArea field="2" type="button" dataOnly="0" labelOnly="1" outline="0" axis="axisPage" fieldPosition="0"/>
    </format>
    <format dxfId="44">
      <pivotArea dataOnly="0" labelOnly="1" grandRow="1" outline="0" fieldPosition="0"/>
    </format>
    <format dxfId="45">
      <pivotArea dataOnly="0" labelOnly="1" outline="0" axis="axisValues" fieldPosition="0"/>
    </format>
    <format dxfId="46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12F6E-A72A-4DB6-AB93-52CF58DA8863}" name="Tabela dinâmica6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23:J29" firstHeaderRow="1" firstDataRow="1" firstDataCol="1" rowPageCount="3" colPageCount="1"/>
  <pivotFields count="22"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axis="axisRow" compact="0" outline="0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pageFields count="3">
    <pageField fld="2" hier="-1"/>
    <pageField fld="3" hier="-1"/>
    <pageField fld="16" hier="-1"/>
  </pageFields>
  <dataFields count="1">
    <dataField name="Faturamento" fld="14" showDataAs="percentOfTotal" baseField="0" baseItem="0" numFmtId="10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3" type="button" dataOnly="0" labelOnly="1" outline="0" axis="axisPage" fieldPosition="1"/>
    </format>
    <format dxfId="37">
      <pivotArea field="2" type="button" dataOnly="0" labelOnly="1" outline="0" axis="axisPage" fieldPosition="0"/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Medium9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4C09F-3B50-42F2-8733-EC59AF032817}" name="Tabela dinâmica2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7:I12" firstHeaderRow="0" firstDataRow="1" firstDataCol="2" rowPageCount="2" colPageCount="1"/>
  <pivotFields count="22">
    <pivotField dataField="1"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h="1" x="3"/>
        <item x="4"/>
        <item x="1"/>
        <item x="2"/>
        <item x="0"/>
        <item t="default"/>
      </items>
    </pivotField>
    <pivotField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3"/>
    <field x="2"/>
  </rowFields>
  <rowItems count="5">
    <i>
      <x/>
      <x/>
    </i>
    <i t="default">
      <x/>
    </i>
    <i>
      <x v="1"/>
      <x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16" hier="-1"/>
    <pageField fld="18" hier="-1"/>
  </pageFields>
  <dataFields count="2">
    <dataField name="Faturamento" fld="14" baseField="0" baseItem="0" numFmtId="167"/>
    <dataField name="Qnt_Pedidos" fld="0" subtotal="count" baseField="0" baseItem="0"/>
  </dataFields>
  <formats count="10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3" type="button" dataOnly="0" labelOnly="1" outline="0" axis="axisRow" fieldPosition="0"/>
    </format>
    <format dxfId="27">
      <pivotArea field="2" type="button" dataOnly="0" labelOnly="1" outline="0" axis="axisRow" fieldPosition="1"/>
    </format>
    <format dxfId="28">
      <pivotArea dataOnly="0" labelOnly="1" outline="0" fieldPosition="0">
        <references count="1">
          <reference field="3" count="0"/>
        </references>
      </pivotArea>
    </format>
    <format dxfId="29">
      <pivotArea dataOnly="0" labelOnly="1" outline="0" fieldPosition="0">
        <references count="1">
          <reference field="3" count="0" defaultSubtotal="1"/>
        </references>
      </pivotArea>
    </format>
    <format dxfId="30">
      <pivotArea dataOnly="0" labelOnly="1" grandRow="1" outline="0" fieldPosition="0"/>
    </format>
    <format dxfId="31">
      <pivotArea dataOnly="0" labelOnly="1" outline="0" fieldPosition="0">
        <references count="2">
          <reference field="2" count="0"/>
          <reference field="3" count="1" selected="0">
            <x v="0"/>
          </reference>
        </references>
      </pivotArea>
    </format>
    <format dxfId="32">
      <pivotArea dataOnly="0" labelOnly="1" outline="0" fieldPosition="0">
        <references count="2">
          <reference field="2" count="0"/>
          <reference field="3" count="1" selected="0">
            <x v="1"/>
          </reference>
        </references>
      </pivotArea>
    </format>
    <format dxfId="33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F3B9E-02A0-47F7-868C-32282E08569E}" name="Base_Vendas" displayName="Base_Vendas" ref="A1:V47" totalsRowShown="0" headerRowDxfId="23" dataDxfId="22">
  <autoFilter ref="A1:V47" xr:uid="{975F3B9E-02A0-47F7-868C-32282E08569E}"/>
  <tableColumns count="22">
    <tableColumn id="1" xr3:uid="{884B2BE9-2882-46B9-A4E7-B93E7A6F74C8}" name="id_pedido" dataDxfId="21"/>
    <tableColumn id="2" xr3:uid="{23D0900A-0A0E-4EF0-928A-3A7107E6748F}" name=" data_pedido" dataDxfId="20"/>
    <tableColumn id="3" xr3:uid="{DF835108-C5D4-40E7-B893-68C5F6AEE41B}" name=" ano_pedido" dataDxfId="19"/>
    <tableColumn id="4" xr3:uid="{56289184-6410-459A-B42B-C2C7F2F39CEA}" name=" mes_pedido" dataDxfId="18"/>
    <tableColumn id="5" xr3:uid="{F04A3B09-C185-402D-A80B-A64B8AD088D6}" name=" id_cliente" dataDxfId="17"/>
    <tableColumn id="6" xr3:uid="{326C33E9-7F09-429E-BA0B-5AAEE9BB0A8B}" name=" nome_cliente" dataDxfId="16"/>
    <tableColumn id="7" xr3:uid="{3E589E91-999A-4916-B01D-ACE846FEEA9A}" name=" tipo_cliente" dataDxfId="15"/>
    <tableColumn id="8" xr3:uid="{BE9A5D91-6113-4E5C-A6D1-C76891073E39}" name=" cidade" dataDxfId="14"/>
    <tableColumn id="9" xr3:uid="{BBB4ADFA-0D3F-4FD9-BA0D-24EACB130B40}" name=" estado" dataDxfId="13"/>
    <tableColumn id="10" xr3:uid="{4BA2DDFC-CC1D-4851-B306-53CD1E56472B}" name=" id_produto" dataDxfId="12"/>
    <tableColumn id="11" xr3:uid="{137B18BC-A475-4A26-8A0F-3E6166688602}" name=" nome_produto" dataDxfId="11"/>
    <tableColumn id="12" xr3:uid="{3AA63606-3063-49FD-848B-6A93AA00F1E7}" name=" categoria_produto" dataDxfId="10"/>
    <tableColumn id="13" xr3:uid="{7CD18B79-6A0D-4A83-9EE3-E6F3CBD4FE0C}" name=" quantidade" dataDxfId="9"/>
    <tableColumn id="14" xr3:uid="{A6E465F5-422F-459E-B14B-7A507F4A4B12}" name=" preco_unitario" dataDxfId="8"/>
    <tableColumn id="15" xr3:uid="{1C1797B5-5D11-4F5B-86B8-6495127BDDAB}" name=" valor_item" dataDxfId="7"/>
    <tableColumn id="16" xr3:uid="{8F30C16F-736C-45E5-8359-6B735B7AA545}" name=" valor_frete" dataDxfId="6"/>
    <tableColumn id="17" xr3:uid="{9C139D65-0803-43DA-8D32-4207897CC9A7}" name=" status_pedido" dataDxfId="5"/>
    <tableColumn id="18" xr3:uid="{B1D03545-133E-4875-880F-8B717AA3E217}" name=" forma_pagamento" dataDxfId="4"/>
    <tableColumn id="19" xr3:uid="{36261555-B441-4639-8FB6-A25C81B59DC4}" name=" status_entrega" dataDxfId="3"/>
    <tableColumn id="20" xr3:uid="{5AF9E1FD-011D-4275-815D-8F832B81F5EF}" name=" data_envio" dataDxfId="2"/>
    <tableColumn id="21" xr3:uid="{E4DE3767-01A5-4D54-B16E-4F58038E5670}" name=" data_entrega" dataDxfId="1"/>
    <tableColumn id="22" xr3:uid="{BE5B9542-D6F3-4E65-8F2A-EAB709012379}" name=" codigo_rastre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opLeftCell="J1" workbookViewId="0">
      <selection activeCell="P3" sqref="P3"/>
    </sheetView>
  </sheetViews>
  <sheetFormatPr defaultColWidth="9.5703125" defaultRowHeight="15"/>
  <cols>
    <col min="1" max="1" width="12.140625" bestFit="1" customWidth="1"/>
    <col min="2" max="2" width="19.85546875" bestFit="1" customWidth="1"/>
    <col min="3" max="3" width="14.140625" bestFit="1" customWidth="1"/>
    <col min="4" max="4" width="14.5703125" bestFit="1" customWidth="1"/>
    <col min="5" max="5" width="12.5703125" bestFit="1" customWidth="1"/>
    <col min="6" max="6" width="23.7109375" bestFit="1" customWidth="1"/>
    <col min="7" max="7" width="14.28515625" bestFit="1" customWidth="1"/>
    <col min="8" max="8" width="19.28515625" bestFit="1" customWidth="1"/>
    <col min="9" max="9" width="9.85546875" bestFit="1" customWidth="1"/>
    <col min="10" max="10" width="13.42578125" bestFit="1" customWidth="1"/>
    <col min="11" max="11" width="27.85546875" bestFit="1" customWidth="1"/>
    <col min="12" max="12" width="20.28515625" bestFit="1" customWidth="1"/>
    <col min="13" max="13" width="13.85546875" bestFit="1" customWidth="1"/>
    <col min="14" max="14" width="16.85546875" style="15" bestFit="1" customWidth="1"/>
    <col min="15" max="15" width="13.140625" style="15" bestFit="1" customWidth="1"/>
    <col min="16" max="16" width="13.28515625" bestFit="1" customWidth="1"/>
    <col min="17" max="17" width="18.42578125" bestFit="1" customWidth="1"/>
    <col min="18" max="18" width="20.28515625" bestFit="1" customWidth="1"/>
    <col min="19" max="19" width="17.140625" bestFit="1" customWidth="1"/>
    <col min="20" max="21" width="19.85546875" bestFit="1" customWidth="1"/>
    <col min="22" max="22" width="17.710937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6" t="s">
        <v>12</v>
      </c>
      <c r="N1" s="14" t="s">
        <v>13</v>
      </c>
      <c r="O1" s="14" t="s">
        <v>14</v>
      </c>
      <c r="P1" s="1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1" t="s">
        <v>23</v>
      </c>
      <c r="C2" s="1">
        <v>2025</v>
      </c>
      <c r="D2" s="1">
        <v>9</v>
      </c>
      <c r="E2" s="1">
        <v>1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1</v>
      </c>
      <c r="K2" s="1" t="s">
        <v>28</v>
      </c>
      <c r="L2" s="1" t="s">
        <v>29</v>
      </c>
      <c r="M2" s="1">
        <v>1</v>
      </c>
      <c r="N2" s="14">
        <v>4800</v>
      </c>
      <c r="O2" s="14">
        <v>4800</v>
      </c>
      <c r="P2" s="14">
        <v>35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</row>
    <row r="3" spans="1:22">
      <c r="A3" s="2" t="s">
        <v>22</v>
      </c>
      <c r="B3" s="1" t="s">
        <v>23</v>
      </c>
      <c r="C3" s="1">
        <v>2025</v>
      </c>
      <c r="D3" s="1">
        <v>9</v>
      </c>
      <c r="E3" s="1">
        <v>1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</v>
      </c>
      <c r="K3" s="1" t="s">
        <v>36</v>
      </c>
      <c r="L3" s="1" t="s">
        <v>37</v>
      </c>
      <c r="M3" s="1">
        <v>1</v>
      </c>
      <c r="N3" s="14">
        <v>250</v>
      </c>
      <c r="O3" s="14">
        <v>250</v>
      </c>
      <c r="P3" s="14">
        <v>35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</row>
    <row r="4" spans="1:22">
      <c r="A4" s="2" t="s">
        <v>38</v>
      </c>
      <c r="B4" s="1" t="s">
        <v>39</v>
      </c>
      <c r="C4" s="1">
        <v>2025</v>
      </c>
      <c r="D4" s="1">
        <v>9</v>
      </c>
      <c r="E4" s="1">
        <v>2</v>
      </c>
      <c r="F4" s="1" t="s">
        <v>40</v>
      </c>
      <c r="G4" s="1" t="s">
        <v>25</v>
      </c>
      <c r="H4" s="1" t="s">
        <v>41</v>
      </c>
      <c r="I4" s="1" t="s">
        <v>27</v>
      </c>
      <c r="J4" s="1">
        <v>2</v>
      </c>
      <c r="K4" s="1" t="s">
        <v>42</v>
      </c>
      <c r="L4" s="1" t="s">
        <v>43</v>
      </c>
      <c r="M4" s="1">
        <v>1</v>
      </c>
      <c r="N4" s="14">
        <v>3600</v>
      </c>
      <c r="O4" s="14">
        <v>3600</v>
      </c>
      <c r="P4" s="14">
        <v>25</v>
      </c>
      <c r="Q4" s="1" t="s">
        <v>32</v>
      </c>
      <c r="R4" s="1" t="s">
        <v>44</v>
      </c>
      <c r="S4" s="1" t="s">
        <v>32</v>
      </c>
      <c r="T4" s="1" t="s">
        <v>34</v>
      </c>
      <c r="U4" s="1" t="s">
        <v>45</v>
      </c>
      <c r="V4" s="1" t="s">
        <v>46</v>
      </c>
    </row>
    <row r="5" spans="1:22">
      <c r="A5" s="2" t="s">
        <v>38</v>
      </c>
      <c r="B5" s="1" t="s">
        <v>39</v>
      </c>
      <c r="C5" s="1">
        <v>2025</v>
      </c>
      <c r="D5" s="1">
        <v>9</v>
      </c>
      <c r="E5" s="1">
        <v>2</v>
      </c>
      <c r="F5" s="1" t="s">
        <v>40</v>
      </c>
      <c r="G5" s="1" t="s">
        <v>25</v>
      </c>
      <c r="H5" s="1" t="s">
        <v>41</v>
      </c>
      <c r="I5" s="1" t="s">
        <v>27</v>
      </c>
      <c r="J5" s="1">
        <v>9</v>
      </c>
      <c r="K5" s="1" t="s">
        <v>47</v>
      </c>
      <c r="L5" s="1" t="s">
        <v>37</v>
      </c>
      <c r="M5" s="1">
        <v>2</v>
      </c>
      <c r="N5" s="14">
        <v>80</v>
      </c>
      <c r="O5" s="14">
        <v>160</v>
      </c>
      <c r="P5" s="14">
        <v>25</v>
      </c>
      <c r="Q5" s="1" t="s">
        <v>32</v>
      </c>
      <c r="R5" s="1" t="s">
        <v>44</v>
      </c>
      <c r="S5" s="1" t="s">
        <v>32</v>
      </c>
      <c r="T5" s="1" t="s">
        <v>34</v>
      </c>
      <c r="U5" s="1" t="s">
        <v>45</v>
      </c>
      <c r="V5" s="1" t="s">
        <v>46</v>
      </c>
    </row>
    <row r="6" spans="1:22">
      <c r="A6" s="2" t="s">
        <v>48</v>
      </c>
      <c r="B6" s="1" t="s">
        <v>49</v>
      </c>
      <c r="C6" s="1">
        <v>2025</v>
      </c>
      <c r="D6" s="1">
        <v>9</v>
      </c>
      <c r="E6" s="1">
        <v>3</v>
      </c>
      <c r="F6" s="1" t="s">
        <v>50</v>
      </c>
      <c r="G6" s="1" t="s">
        <v>25</v>
      </c>
      <c r="H6" s="1" t="s">
        <v>51</v>
      </c>
      <c r="I6" s="1" t="s">
        <v>27</v>
      </c>
      <c r="J6" s="1">
        <v>5</v>
      </c>
      <c r="K6" s="1" t="s">
        <v>52</v>
      </c>
      <c r="L6" s="1" t="s">
        <v>29</v>
      </c>
      <c r="M6" s="1">
        <v>1</v>
      </c>
      <c r="N6" s="14">
        <v>1200</v>
      </c>
      <c r="O6" s="14">
        <v>1200</v>
      </c>
      <c r="P6" s="14">
        <v>40</v>
      </c>
      <c r="Q6" s="1" t="s">
        <v>53</v>
      </c>
      <c r="R6" s="1" t="s">
        <v>54</v>
      </c>
      <c r="S6" s="1" t="s">
        <v>55</v>
      </c>
      <c r="T6" s="1" t="s">
        <v>56</v>
      </c>
      <c r="U6" s="1" t="s">
        <v>57</v>
      </c>
      <c r="V6" s="1" t="s">
        <v>58</v>
      </c>
    </row>
    <row r="7" spans="1:22">
      <c r="A7" s="2" t="s">
        <v>48</v>
      </c>
      <c r="B7" s="1" t="s">
        <v>49</v>
      </c>
      <c r="C7" s="1">
        <v>2025</v>
      </c>
      <c r="D7" s="1">
        <v>9</v>
      </c>
      <c r="E7" s="1">
        <v>3</v>
      </c>
      <c r="F7" s="1" t="s">
        <v>50</v>
      </c>
      <c r="G7" s="1" t="s">
        <v>25</v>
      </c>
      <c r="H7" s="1" t="s">
        <v>51</v>
      </c>
      <c r="I7" s="1" t="s">
        <v>27</v>
      </c>
      <c r="J7" s="1">
        <v>6</v>
      </c>
      <c r="K7" s="1" t="s">
        <v>59</v>
      </c>
      <c r="L7" s="1" t="s">
        <v>37</v>
      </c>
      <c r="M7" s="1">
        <v>1</v>
      </c>
      <c r="N7" s="14">
        <v>450</v>
      </c>
      <c r="O7" s="14">
        <v>450</v>
      </c>
      <c r="P7" s="14">
        <v>40</v>
      </c>
      <c r="Q7" s="1" t="s">
        <v>53</v>
      </c>
      <c r="R7" s="1" t="s">
        <v>54</v>
      </c>
      <c r="S7" s="1" t="s">
        <v>55</v>
      </c>
      <c r="T7" s="1" t="s">
        <v>56</v>
      </c>
      <c r="U7" s="1" t="s">
        <v>57</v>
      </c>
      <c r="V7" s="1" t="s">
        <v>58</v>
      </c>
    </row>
    <row r="8" spans="1:22">
      <c r="A8" s="2" t="s">
        <v>60</v>
      </c>
      <c r="B8" s="1" t="s">
        <v>61</v>
      </c>
      <c r="C8" s="1">
        <v>2025</v>
      </c>
      <c r="D8" s="1">
        <v>9</v>
      </c>
      <c r="E8" s="1">
        <v>4</v>
      </c>
      <c r="F8" s="1" t="s">
        <v>62</v>
      </c>
      <c r="G8" s="1" t="s">
        <v>25</v>
      </c>
      <c r="H8" s="1" t="s">
        <v>63</v>
      </c>
      <c r="I8" s="1" t="s">
        <v>27</v>
      </c>
      <c r="J8" s="1">
        <v>7</v>
      </c>
      <c r="K8" s="1" t="s">
        <v>64</v>
      </c>
      <c r="L8" s="1" t="s">
        <v>65</v>
      </c>
      <c r="M8" s="1">
        <v>1</v>
      </c>
      <c r="N8" s="14">
        <v>1350</v>
      </c>
      <c r="O8" s="14">
        <v>1350</v>
      </c>
      <c r="P8" s="14">
        <v>0</v>
      </c>
      <c r="Q8" s="1" t="s">
        <v>66</v>
      </c>
      <c r="R8" s="1" t="s">
        <v>67</v>
      </c>
      <c r="S8" s="1" t="s">
        <v>57</v>
      </c>
      <c r="T8" s="1" t="s">
        <v>57</v>
      </c>
      <c r="U8" s="1" t="s">
        <v>57</v>
      </c>
      <c r="V8" s="1" t="s">
        <v>57</v>
      </c>
    </row>
    <row r="9" spans="1:22">
      <c r="A9" s="2" t="s">
        <v>68</v>
      </c>
      <c r="B9" s="1" t="s">
        <v>69</v>
      </c>
      <c r="C9" s="1">
        <v>2025</v>
      </c>
      <c r="D9" s="1">
        <v>9</v>
      </c>
      <c r="E9" s="1">
        <v>5</v>
      </c>
      <c r="F9" s="1" t="s">
        <v>70</v>
      </c>
      <c r="G9" s="1" t="s">
        <v>71</v>
      </c>
      <c r="H9" s="1" t="s">
        <v>72</v>
      </c>
      <c r="I9" s="1" t="s">
        <v>73</v>
      </c>
      <c r="J9" s="1">
        <v>10</v>
      </c>
      <c r="K9" s="1" t="s">
        <v>74</v>
      </c>
      <c r="L9" s="1" t="s">
        <v>75</v>
      </c>
      <c r="M9" s="1">
        <v>1</v>
      </c>
      <c r="N9" s="14">
        <v>600</v>
      </c>
      <c r="O9" s="14">
        <v>600</v>
      </c>
      <c r="P9" s="14">
        <v>55</v>
      </c>
      <c r="Q9" s="1" t="s">
        <v>76</v>
      </c>
      <c r="R9" s="1" t="s">
        <v>77</v>
      </c>
      <c r="S9" s="1" t="s">
        <v>78</v>
      </c>
      <c r="T9" s="1" t="s">
        <v>57</v>
      </c>
      <c r="U9" s="1" t="s">
        <v>57</v>
      </c>
      <c r="V9" s="1" t="s">
        <v>79</v>
      </c>
    </row>
    <row r="10" spans="1:22">
      <c r="A10" s="2" t="s">
        <v>68</v>
      </c>
      <c r="B10" s="1" t="s">
        <v>69</v>
      </c>
      <c r="C10" s="1">
        <v>2025</v>
      </c>
      <c r="D10" s="1">
        <v>9</v>
      </c>
      <c r="E10" s="1">
        <v>5</v>
      </c>
      <c r="F10" s="1" t="s">
        <v>70</v>
      </c>
      <c r="G10" s="1" t="s">
        <v>71</v>
      </c>
      <c r="H10" s="1" t="s">
        <v>72</v>
      </c>
      <c r="I10" s="1" t="s">
        <v>73</v>
      </c>
      <c r="J10" s="1">
        <v>14</v>
      </c>
      <c r="K10" s="1" t="s">
        <v>80</v>
      </c>
      <c r="L10" s="1" t="s">
        <v>81</v>
      </c>
      <c r="M10" s="1">
        <v>1</v>
      </c>
      <c r="N10" s="14">
        <v>700</v>
      </c>
      <c r="O10" s="14">
        <v>700</v>
      </c>
      <c r="P10" s="14">
        <v>55</v>
      </c>
      <c r="Q10" s="1" t="s">
        <v>76</v>
      </c>
      <c r="R10" s="1" t="s">
        <v>77</v>
      </c>
      <c r="S10" s="1" t="s">
        <v>78</v>
      </c>
      <c r="T10" s="1" t="s">
        <v>57</v>
      </c>
      <c r="U10" s="1" t="s">
        <v>57</v>
      </c>
      <c r="V10" s="1" t="s">
        <v>79</v>
      </c>
    </row>
    <row r="11" spans="1:22">
      <c r="A11" s="2" t="s">
        <v>82</v>
      </c>
      <c r="B11" s="1" t="s">
        <v>83</v>
      </c>
      <c r="C11" s="1">
        <v>2025</v>
      </c>
      <c r="D11" s="1">
        <v>9</v>
      </c>
      <c r="E11" s="1">
        <v>6</v>
      </c>
      <c r="F11" s="1" t="s">
        <v>84</v>
      </c>
      <c r="G11" s="1" t="s">
        <v>71</v>
      </c>
      <c r="H11" s="1" t="s">
        <v>85</v>
      </c>
      <c r="I11" s="1" t="s">
        <v>73</v>
      </c>
      <c r="J11" s="1">
        <v>8</v>
      </c>
      <c r="K11" s="1" t="s">
        <v>86</v>
      </c>
      <c r="L11" s="1" t="s">
        <v>29</v>
      </c>
      <c r="M11" s="1">
        <v>1</v>
      </c>
      <c r="N11" s="14">
        <v>550</v>
      </c>
      <c r="O11" s="14">
        <v>550</v>
      </c>
      <c r="P11" s="14">
        <v>30</v>
      </c>
      <c r="Q11" s="1" t="s">
        <v>30</v>
      </c>
      <c r="R11" s="1" t="s">
        <v>54</v>
      </c>
      <c r="S11" s="1" t="s">
        <v>32</v>
      </c>
      <c r="T11" s="1" t="s">
        <v>87</v>
      </c>
      <c r="U11" s="1" t="s">
        <v>88</v>
      </c>
      <c r="V11" s="1" t="s">
        <v>89</v>
      </c>
    </row>
    <row r="12" spans="1:22">
      <c r="A12" s="2" t="s">
        <v>82</v>
      </c>
      <c r="B12" s="1" t="s">
        <v>83</v>
      </c>
      <c r="C12" s="1">
        <v>2025</v>
      </c>
      <c r="D12" s="1">
        <v>9</v>
      </c>
      <c r="E12" s="1">
        <v>6</v>
      </c>
      <c r="F12" s="1" t="s">
        <v>84</v>
      </c>
      <c r="G12" s="1" t="s">
        <v>71</v>
      </c>
      <c r="H12" s="1" t="s">
        <v>85</v>
      </c>
      <c r="I12" s="1" t="s">
        <v>73</v>
      </c>
      <c r="J12" s="1">
        <v>12</v>
      </c>
      <c r="K12" s="1" t="s">
        <v>90</v>
      </c>
      <c r="L12" s="1" t="s">
        <v>91</v>
      </c>
      <c r="M12" s="1">
        <v>1</v>
      </c>
      <c r="N12" s="14">
        <v>500</v>
      </c>
      <c r="O12" s="14">
        <v>500</v>
      </c>
      <c r="P12" s="14">
        <v>30</v>
      </c>
      <c r="Q12" s="1" t="s">
        <v>30</v>
      </c>
      <c r="R12" s="1" t="s">
        <v>54</v>
      </c>
      <c r="S12" s="1" t="s">
        <v>32</v>
      </c>
      <c r="T12" s="1" t="s">
        <v>87</v>
      </c>
      <c r="U12" s="1" t="s">
        <v>88</v>
      </c>
      <c r="V12" s="1" t="s">
        <v>89</v>
      </c>
    </row>
    <row r="13" spans="1:22">
      <c r="A13" s="2" t="s">
        <v>92</v>
      </c>
      <c r="B13" s="1" t="s">
        <v>93</v>
      </c>
      <c r="C13" s="1">
        <v>2025</v>
      </c>
      <c r="D13" s="1">
        <v>9</v>
      </c>
      <c r="E13" s="1">
        <v>7</v>
      </c>
      <c r="F13" s="1" t="s">
        <v>94</v>
      </c>
      <c r="G13" s="1" t="s">
        <v>71</v>
      </c>
      <c r="H13" s="1" t="s">
        <v>95</v>
      </c>
      <c r="I13" s="1" t="s">
        <v>96</v>
      </c>
      <c r="J13" s="1">
        <v>15</v>
      </c>
      <c r="K13" s="1" t="s">
        <v>97</v>
      </c>
      <c r="L13" s="1" t="s">
        <v>37</v>
      </c>
      <c r="M13" s="1">
        <v>1</v>
      </c>
      <c r="N13" s="14">
        <v>420</v>
      </c>
      <c r="O13" s="14">
        <v>420</v>
      </c>
      <c r="P13" s="14">
        <v>60</v>
      </c>
      <c r="Q13" s="1" t="s">
        <v>30</v>
      </c>
      <c r="R13" s="1" t="s">
        <v>44</v>
      </c>
      <c r="S13" s="1" t="s">
        <v>55</v>
      </c>
      <c r="T13" s="1" t="s">
        <v>88</v>
      </c>
      <c r="U13" s="1" t="s">
        <v>57</v>
      </c>
      <c r="V13" s="1" t="s">
        <v>98</v>
      </c>
    </row>
    <row r="14" spans="1:22">
      <c r="A14" s="2" t="s">
        <v>92</v>
      </c>
      <c r="B14" s="1" t="s">
        <v>93</v>
      </c>
      <c r="C14" s="1">
        <v>2025</v>
      </c>
      <c r="D14" s="1">
        <v>9</v>
      </c>
      <c r="E14" s="1">
        <v>7</v>
      </c>
      <c r="F14" s="1" t="s">
        <v>94</v>
      </c>
      <c r="G14" s="1" t="s">
        <v>71</v>
      </c>
      <c r="H14" s="1" t="s">
        <v>95</v>
      </c>
      <c r="I14" s="1" t="s">
        <v>96</v>
      </c>
      <c r="J14" s="1">
        <v>9</v>
      </c>
      <c r="K14" s="1" t="s">
        <v>47</v>
      </c>
      <c r="L14" s="1" t="s">
        <v>37</v>
      </c>
      <c r="M14" s="1">
        <v>3</v>
      </c>
      <c r="N14" s="14">
        <v>80</v>
      </c>
      <c r="O14" s="14">
        <v>240</v>
      </c>
      <c r="P14" s="14">
        <v>60</v>
      </c>
      <c r="Q14" s="1" t="s">
        <v>30</v>
      </c>
      <c r="R14" s="1" t="s">
        <v>44</v>
      </c>
      <c r="S14" s="1" t="s">
        <v>55</v>
      </c>
      <c r="T14" s="1" t="s">
        <v>88</v>
      </c>
      <c r="U14" s="1" t="s">
        <v>57</v>
      </c>
      <c r="V14" s="1" t="s">
        <v>98</v>
      </c>
    </row>
    <row r="15" spans="1:22">
      <c r="A15" s="2" t="s">
        <v>99</v>
      </c>
      <c r="B15" s="1" t="s">
        <v>100</v>
      </c>
      <c r="C15" s="1">
        <v>2025</v>
      </c>
      <c r="D15" s="1">
        <v>10</v>
      </c>
      <c r="E15" s="1">
        <v>8</v>
      </c>
      <c r="F15" s="1" t="s">
        <v>101</v>
      </c>
      <c r="G15" s="1" t="s">
        <v>25</v>
      </c>
      <c r="H15" s="1" t="s">
        <v>102</v>
      </c>
      <c r="I15" s="1" t="s">
        <v>103</v>
      </c>
      <c r="J15" s="1">
        <v>11</v>
      </c>
      <c r="K15" s="1" t="s">
        <v>104</v>
      </c>
      <c r="L15" s="1" t="s">
        <v>105</v>
      </c>
      <c r="M15" s="1">
        <v>2</v>
      </c>
      <c r="N15" s="14">
        <v>280</v>
      </c>
      <c r="O15" s="14">
        <v>560</v>
      </c>
      <c r="P15" s="14">
        <v>25</v>
      </c>
      <c r="Q15" s="1" t="s">
        <v>32</v>
      </c>
      <c r="R15" s="1" t="s">
        <v>31</v>
      </c>
      <c r="S15" s="1" t="s">
        <v>32</v>
      </c>
      <c r="T15" s="1" t="s">
        <v>106</v>
      </c>
      <c r="U15" s="1" t="s">
        <v>107</v>
      </c>
      <c r="V15" s="1" t="s">
        <v>108</v>
      </c>
    </row>
    <row r="16" spans="1:22">
      <c r="A16" s="2" t="s">
        <v>99</v>
      </c>
      <c r="B16" s="1" t="s">
        <v>100</v>
      </c>
      <c r="C16" s="1">
        <v>2025</v>
      </c>
      <c r="D16" s="1">
        <v>10</v>
      </c>
      <c r="E16" s="1">
        <v>8</v>
      </c>
      <c r="F16" s="1" t="s">
        <v>101</v>
      </c>
      <c r="G16" s="1" t="s">
        <v>25</v>
      </c>
      <c r="H16" s="1" t="s">
        <v>102</v>
      </c>
      <c r="I16" s="1" t="s">
        <v>103</v>
      </c>
      <c r="J16" s="1">
        <v>13</v>
      </c>
      <c r="K16" s="1" t="s">
        <v>109</v>
      </c>
      <c r="L16" s="1" t="s">
        <v>110</v>
      </c>
      <c r="M16" s="1">
        <v>1</v>
      </c>
      <c r="N16" s="14">
        <v>1100</v>
      </c>
      <c r="O16" s="14">
        <v>1100</v>
      </c>
      <c r="P16" s="14">
        <v>25</v>
      </c>
      <c r="Q16" s="1" t="s">
        <v>32</v>
      </c>
      <c r="R16" s="1" t="s">
        <v>31</v>
      </c>
      <c r="S16" s="1" t="s">
        <v>32</v>
      </c>
      <c r="T16" s="1" t="s">
        <v>106</v>
      </c>
      <c r="U16" s="1" t="s">
        <v>107</v>
      </c>
      <c r="V16" s="1" t="s">
        <v>108</v>
      </c>
    </row>
    <row r="17" spans="1:22">
      <c r="A17" s="2" t="s">
        <v>111</v>
      </c>
      <c r="B17" s="1" t="s">
        <v>112</v>
      </c>
      <c r="C17" s="1">
        <v>2025</v>
      </c>
      <c r="D17" s="1">
        <v>10</v>
      </c>
      <c r="E17" s="1">
        <v>9</v>
      </c>
      <c r="F17" s="1" t="s">
        <v>113</v>
      </c>
      <c r="G17" s="1" t="s">
        <v>25</v>
      </c>
      <c r="H17" s="1" t="s">
        <v>114</v>
      </c>
      <c r="I17" s="1" t="s">
        <v>103</v>
      </c>
      <c r="J17" s="1">
        <v>18</v>
      </c>
      <c r="K17" s="1" t="s">
        <v>115</v>
      </c>
      <c r="L17" s="1" t="s">
        <v>29</v>
      </c>
      <c r="M17" s="1">
        <v>1</v>
      </c>
      <c r="N17" s="14">
        <v>720</v>
      </c>
      <c r="O17" s="14">
        <v>720</v>
      </c>
      <c r="P17" s="14">
        <v>30</v>
      </c>
      <c r="Q17" s="1" t="s">
        <v>30</v>
      </c>
      <c r="R17" s="1" t="s">
        <v>67</v>
      </c>
      <c r="S17" s="1" t="s">
        <v>32</v>
      </c>
      <c r="T17" s="1" t="s">
        <v>107</v>
      </c>
      <c r="U17" s="1" t="s">
        <v>116</v>
      </c>
      <c r="V17" s="1" t="s">
        <v>117</v>
      </c>
    </row>
    <row r="18" spans="1:22">
      <c r="A18" s="2" t="s">
        <v>111</v>
      </c>
      <c r="B18" s="1" t="s">
        <v>112</v>
      </c>
      <c r="C18" s="1">
        <v>2025</v>
      </c>
      <c r="D18" s="1">
        <v>10</v>
      </c>
      <c r="E18" s="1">
        <v>9</v>
      </c>
      <c r="F18" s="1" t="s">
        <v>113</v>
      </c>
      <c r="G18" s="1" t="s">
        <v>25</v>
      </c>
      <c r="H18" s="1" t="s">
        <v>114</v>
      </c>
      <c r="I18" s="1" t="s">
        <v>103</v>
      </c>
      <c r="J18" s="1">
        <v>19</v>
      </c>
      <c r="K18" s="1" t="s">
        <v>118</v>
      </c>
      <c r="L18" s="1" t="s">
        <v>37</v>
      </c>
      <c r="M18" s="1">
        <v>1</v>
      </c>
      <c r="N18" s="14">
        <v>180</v>
      </c>
      <c r="O18" s="14">
        <v>180</v>
      </c>
      <c r="P18" s="14">
        <v>30</v>
      </c>
      <c r="Q18" s="1" t="s">
        <v>30</v>
      </c>
      <c r="R18" s="1" t="s">
        <v>67</v>
      </c>
      <c r="S18" s="1" t="s">
        <v>32</v>
      </c>
      <c r="T18" s="1" t="s">
        <v>107</v>
      </c>
      <c r="U18" s="1" t="s">
        <v>116</v>
      </c>
      <c r="V18" s="1" t="s">
        <v>117</v>
      </c>
    </row>
    <row r="19" spans="1:22">
      <c r="A19" s="2" t="s">
        <v>119</v>
      </c>
      <c r="B19" s="1" t="s">
        <v>120</v>
      </c>
      <c r="C19" s="1">
        <v>2025</v>
      </c>
      <c r="D19" s="1">
        <v>10</v>
      </c>
      <c r="E19" s="1">
        <v>10</v>
      </c>
      <c r="F19" s="1" t="s">
        <v>121</v>
      </c>
      <c r="G19" s="1" t="s">
        <v>25</v>
      </c>
      <c r="H19" s="1" t="s">
        <v>122</v>
      </c>
      <c r="I19" s="1" t="s">
        <v>27</v>
      </c>
      <c r="J19" s="1">
        <v>20</v>
      </c>
      <c r="K19" s="1" t="s">
        <v>123</v>
      </c>
      <c r="L19" s="1" t="s">
        <v>29</v>
      </c>
      <c r="M19" s="1">
        <v>1</v>
      </c>
      <c r="N19" s="14">
        <v>3400</v>
      </c>
      <c r="O19" s="14">
        <v>3400</v>
      </c>
      <c r="P19" s="14">
        <v>0</v>
      </c>
      <c r="Q19" s="1" t="s">
        <v>66</v>
      </c>
      <c r="R19" s="1" t="s">
        <v>77</v>
      </c>
      <c r="S19" s="1" t="s">
        <v>57</v>
      </c>
      <c r="T19" s="1" t="s">
        <v>57</v>
      </c>
      <c r="U19" s="1" t="s">
        <v>57</v>
      </c>
      <c r="V19" s="1" t="s">
        <v>57</v>
      </c>
    </row>
    <row r="20" spans="1:22">
      <c r="A20" s="2" t="s">
        <v>124</v>
      </c>
      <c r="B20" s="1" t="s">
        <v>125</v>
      </c>
      <c r="C20" s="1">
        <v>2025</v>
      </c>
      <c r="D20" s="1">
        <v>10</v>
      </c>
      <c r="E20" s="1">
        <v>11</v>
      </c>
      <c r="F20" s="1" t="s">
        <v>126</v>
      </c>
      <c r="G20" s="1" t="s">
        <v>71</v>
      </c>
      <c r="H20" s="1" t="s">
        <v>72</v>
      </c>
      <c r="I20" s="1" t="s">
        <v>73</v>
      </c>
      <c r="J20" s="1">
        <v>4</v>
      </c>
      <c r="K20" s="1" t="s">
        <v>127</v>
      </c>
      <c r="L20" s="1" t="s">
        <v>37</v>
      </c>
      <c r="M20" s="1">
        <v>1</v>
      </c>
      <c r="N20" s="14">
        <v>320</v>
      </c>
      <c r="O20" s="14">
        <v>320</v>
      </c>
      <c r="P20" s="14">
        <v>35</v>
      </c>
      <c r="Q20" s="1" t="s">
        <v>30</v>
      </c>
      <c r="R20" s="1" t="s">
        <v>54</v>
      </c>
      <c r="S20" s="1" t="s">
        <v>78</v>
      </c>
      <c r="T20" s="1" t="s">
        <v>57</v>
      </c>
      <c r="U20" s="1" t="s">
        <v>57</v>
      </c>
      <c r="V20" s="1" t="s">
        <v>128</v>
      </c>
    </row>
    <row r="21" spans="1:22">
      <c r="A21" s="2" t="s">
        <v>124</v>
      </c>
      <c r="B21" s="1" t="s">
        <v>125</v>
      </c>
      <c r="C21" s="1">
        <v>2025</v>
      </c>
      <c r="D21" s="1">
        <v>10</v>
      </c>
      <c r="E21" s="1">
        <v>11</v>
      </c>
      <c r="F21" s="1" t="s">
        <v>126</v>
      </c>
      <c r="G21" s="1" t="s">
        <v>71</v>
      </c>
      <c r="H21" s="1" t="s">
        <v>72</v>
      </c>
      <c r="I21" s="1" t="s">
        <v>73</v>
      </c>
      <c r="J21" s="1">
        <v>5</v>
      </c>
      <c r="K21" s="1" t="s">
        <v>52</v>
      </c>
      <c r="L21" s="1" t="s">
        <v>29</v>
      </c>
      <c r="M21" s="1">
        <v>1</v>
      </c>
      <c r="N21" s="14">
        <v>1200</v>
      </c>
      <c r="O21" s="14">
        <v>1200</v>
      </c>
      <c r="P21" s="14">
        <v>35</v>
      </c>
      <c r="Q21" s="1" t="s">
        <v>30</v>
      </c>
      <c r="R21" s="1" t="s">
        <v>54</v>
      </c>
      <c r="S21" s="1" t="s">
        <v>78</v>
      </c>
      <c r="T21" s="1" t="s">
        <v>57</v>
      </c>
      <c r="U21" s="1" t="s">
        <v>57</v>
      </c>
      <c r="V21" s="1" t="s">
        <v>128</v>
      </c>
    </row>
    <row r="22" spans="1:22">
      <c r="A22" s="2" t="s">
        <v>129</v>
      </c>
      <c r="B22" s="1" t="s">
        <v>130</v>
      </c>
      <c r="C22" s="1">
        <v>2025</v>
      </c>
      <c r="D22" s="1">
        <v>10</v>
      </c>
      <c r="E22" s="1">
        <v>12</v>
      </c>
      <c r="F22" s="1" t="s">
        <v>131</v>
      </c>
      <c r="G22" s="1" t="s">
        <v>71</v>
      </c>
      <c r="H22" s="1" t="s">
        <v>132</v>
      </c>
      <c r="I22" s="1" t="s">
        <v>96</v>
      </c>
      <c r="J22" s="1">
        <v>17</v>
      </c>
      <c r="K22" s="1" t="s">
        <v>133</v>
      </c>
      <c r="L22" s="1" t="s">
        <v>105</v>
      </c>
      <c r="M22" s="1">
        <v>1</v>
      </c>
      <c r="N22" s="14">
        <v>480</v>
      </c>
      <c r="O22" s="14">
        <v>480</v>
      </c>
      <c r="P22" s="14">
        <v>20</v>
      </c>
      <c r="Q22" s="1" t="s">
        <v>32</v>
      </c>
      <c r="R22" s="1" t="s">
        <v>44</v>
      </c>
      <c r="S22" s="1" t="s">
        <v>32</v>
      </c>
      <c r="T22" s="1" t="s">
        <v>134</v>
      </c>
      <c r="U22" s="1" t="s">
        <v>135</v>
      </c>
      <c r="V22" s="1" t="s">
        <v>136</v>
      </c>
    </row>
    <row r="23" spans="1:22">
      <c r="A23" s="2" t="s">
        <v>129</v>
      </c>
      <c r="B23" s="1" t="s">
        <v>130</v>
      </c>
      <c r="C23" s="1">
        <v>2025</v>
      </c>
      <c r="D23" s="1">
        <v>10</v>
      </c>
      <c r="E23" s="1">
        <v>12</v>
      </c>
      <c r="F23" s="1" t="s">
        <v>131</v>
      </c>
      <c r="G23" s="1" t="s">
        <v>71</v>
      </c>
      <c r="H23" s="1" t="s">
        <v>132</v>
      </c>
      <c r="I23" s="1" t="s">
        <v>96</v>
      </c>
      <c r="J23" s="1">
        <v>23</v>
      </c>
      <c r="K23" s="1" t="s">
        <v>137</v>
      </c>
      <c r="L23" s="1" t="s">
        <v>75</v>
      </c>
      <c r="M23" s="1">
        <v>1</v>
      </c>
      <c r="N23" s="14">
        <v>390</v>
      </c>
      <c r="O23" s="14">
        <v>390</v>
      </c>
      <c r="P23" s="14">
        <v>20</v>
      </c>
      <c r="Q23" s="1" t="s">
        <v>32</v>
      </c>
      <c r="R23" s="1" t="s">
        <v>44</v>
      </c>
      <c r="S23" s="1" t="s">
        <v>32</v>
      </c>
      <c r="T23" s="1" t="s">
        <v>134</v>
      </c>
      <c r="U23" s="1" t="s">
        <v>135</v>
      </c>
      <c r="V23" s="1" t="s">
        <v>136</v>
      </c>
    </row>
    <row r="24" spans="1:22">
      <c r="A24" s="2" t="s">
        <v>138</v>
      </c>
      <c r="B24" s="1" t="s">
        <v>139</v>
      </c>
      <c r="C24" s="1">
        <v>2025</v>
      </c>
      <c r="D24" s="1">
        <v>10</v>
      </c>
      <c r="E24" s="1">
        <v>1</v>
      </c>
      <c r="F24" s="1" t="s">
        <v>24</v>
      </c>
      <c r="G24" s="1" t="s">
        <v>25</v>
      </c>
      <c r="H24" s="1" t="s">
        <v>26</v>
      </c>
      <c r="I24" s="1" t="s">
        <v>27</v>
      </c>
      <c r="J24" s="1">
        <v>2</v>
      </c>
      <c r="K24" s="1" t="s">
        <v>42</v>
      </c>
      <c r="L24" s="1" t="s">
        <v>43</v>
      </c>
      <c r="M24" s="1">
        <v>1</v>
      </c>
      <c r="N24" s="14">
        <v>3600</v>
      </c>
      <c r="O24" s="14">
        <v>3600</v>
      </c>
      <c r="P24" s="14">
        <v>25</v>
      </c>
      <c r="Q24" s="1" t="s">
        <v>30</v>
      </c>
      <c r="R24" s="1" t="s">
        <v>67</v>
      </c>
      <c r="S24" s="1" t="s">
        <v>55</v>
      </c>
      <c r="T24" s="1" t="s">
        <v>135</v>
      </c>
      <c r="U24" s="1" t="s">
        <v>57</v>
      </c>
      <c r="V24" s="1" t="s">
        <v>140</v>
      </c>
    </row>
    <row r="25" spans="1:22">
      <c r="A25" s="2" t="s">
        <v>141</v>
      </c>
      <c r="B25" s="1" t="s">
        <v>142</v>
      </c>
      <c r="C25" s="1">
        <v>2025</v>
      </c>
      <c r="D25" s="1">
        <v>10</v>
      </c>
      <c r="E25" s="1">
        <v>3</v>
      </c>
      <c r="F25" s="1" t="s">
        <v>50</v>
      </c>
      <c r="G25" s="1" t="s">
        <v>25</v>
      </c>
      <c r="H25" s="1" t="s">
        <v>51</v>
      </c>
      <c r="I25" s="1" t="s">
        <v>27</v>
      </c>
      <c r="J25" s="1">
        <v>21</v>
      </c>
      <c r="K25" s="1" t="s">
        <v>143</v>
      </c>
      <c r="L25" s="1" t="s">
        <v>37</v>
      </c>
      <c r="M25" s="1">
        <v>1</v>
      </c>
      <c r="N25" s="14">
        <v>210</v>
      </c>
      <c r="O25" s="14">
        <v>210</v>
      </c>
      <c r="P25" s="14">
        <v>40</v>
      </c>
      <c r="Q25" s="1" t="s">
        <v>53</v>
      </c>
      <c r="R25" s="1" t="s">
        <v>77</v>
      </c>
      <c r="S25" s="1" t="s">
        <v>78</v>
      </c>
      <c r="T25" s="1" t="s">
        <v>57</v>
      </c>
      <c r="U25" s="1" t="s">
        <v>57</v>
      </c>
      <c r="V25" s="1" t="s">
        <v>144</v>
      </c>
    </row>
    <row r="26" spans="1:22">
      <c r="A26" s="2" t="s">
        <v>141</v>
      </c>
      <c r="B26" s="1" t="s">
        <v>142</v>
      </c>
      <c r="C26" s="1">
        <v>2025</v>
      </c>
      <c r="D26" s="1">
        <v>10</v>
      </c>
      <c r="E26" s="1">
        <v>3</v>
      </c>
      <c r="F26" s="1" t="s">
        <v>50</v>
      </c>
      <c r="G26" s="1" t="s">
        <v>25</v>
      </c>
      <c r="H26" s="1" t="s">
        <v>51</v>
      </c>
      <c r="I26" s="1" t="s">
        <v>27</v>
      </c>
      <c r="J26" s="1">
        <v>22</v>
      </c>
      <c r="K26" s="1" t="s">
        <v>145</v>
      </c>
      <c r="L26" s="1" t="s">
        <v>37</v>
      </c>
      <c r="M26" s="1">
        <v>1</v>
      </c>
      <c r="N26" s="14">
        <v>140</v>
      </c>
      <c r="O26" s="14">
        <v>140</v>
      </c>
      <c r="P26" s="14">
        <v>40</v>
      </c>
      <c r="Q26" s="1" t="s">
        <v>53</v>
      </c>
      <c r="R26" s="1" t="s">
        <v>77</v>
      </c>
      <c r="S26" s="1" t="s">
        <v>78</v>
      </c>
      <c r="T26" s="1" t="s">
        <v>57</v>
      </c>
      <c r="U26" s="1" t="s">
        <v>57</v>
      </c>
      <c r="V26" s="1" t="s">
        <v>144</v>
      </c>
    </row>
    <row r="27" spans="1:22">
      <c r="A27" s="2" t="s">
        <v>146</v>
      </c>
      <c r="B27" s="1" t="s">
        <v>147</v>
      </c>
      <c r="C27" s="1">
        <v>2025</v>
      </c>
      <c r="D27" s="1">
        <v>10</v>
      </c>
      <c r="E27" s="1">
        <v>2</v>
      </c>
      <c r="F27" s="1" t="s">
        <v>40</v>
      </c>
      <c r="G27" s="1" t="s">
        <v>25</v>
      </c>
      <c r="H27" s="1" t="s">
        <v>41</v>
      </c>
      <c r="I27" s="1" t="s">
        <v>27</v>
      </c>
      <c r="J27" s="1">
        <v>3</v>
      </c>
      <c r="K27" s="1" t="s">
        <v>36</v>
      </c>
      <c r="L27" s="1" t="s">
        <v>37</v>
      </c>
      <c r="M27" s="1">
        <v>2</v>
      </c>
      <c r="N27" s="14">
        <v>250</v>
      </c>
      <c r="O27" s="14">
        <v>500</v>
      </c>
      <c r="P27" s="14">
        <v>35</v>
      </c>
      <c r="Q27" s="1" t="s">
        <v>30</v>
      </c>
      <c r="R27" s="1" t="s">
        <v>44</v>
      </c>
      <c r="S27" s="1" t="s">
        <v>32</v>
      </c>
      <c r="T27" s="1" t="s">
        <v>148</v>
      </c>
      <c r="U27" s="1" t="s">
        <v>149</v>
      </c>
      <c r="V27" s="1" t="s">
        <v>150</v>
      </c>
    </row>
    <row r="28" spans="1:22">
      <c r="A28" s="2" t="s">
        <v>146</v>
      </c>
      <c r="B28" s="1" t="s">
        <v>147</v>
      </c>
      <c r="C28" s="1">
        <v>2025</v>
      </c>
      <c r="D28" s="1">
        <v>10</v>
      </c>
      <c r="E28" s="1">
        <v>2</v>
      </c>
      <c r="F28" s="1" t="s">
        <v>40</v>
      </c>
      <c r="G28" s="1" t="s">
        <v>25</v>
      </c>
      <c r="H28" s="1" t="s">
        <v>41</v>
      </c>
      <c r="I28" s="1" t="s">
        <v>27</v>
      </c>
      <c r="J28" s="1">
        <v>18</v>
      </c>
      <c r="K28" s="1" t="s">
        <v>115</v>
      </c>
      <c r="L28" s="1" t="s">
        <v>29</v>
      </c>
      <c r="M28" s="1">
        <v>1</v>
      </c>
      <c r="N28" s="14">
        <v>720</v>
      </c>
      <c r="O28" s="14">
        <v>720</v>
      </c>
      <c r="P28" s="14">
        <v>35</v>
      </c>
      <c r="Q28" s="1" t="s">
        <v>30</v>
      </c>
      <c r="R28" s="1" t="s">
        <v>44</v>
      </c>
      <c r="S28" s="1" t="s">
        <v>32</v>
      </c>
      <c r="T28" s="1" t="s">
        <v>148</v>
      </c>
      <c r="U28" s="1" t="s">
        <v>149</v>
      </c>
      <c r="V28" s="1" t="s">
        <v>150</v>
      </c>
    </row>
    <row r="29" spans="1:22">
      <c r="A29" s="2" t="s">
        <v>151</v>
      </c>
      <c r="B29" s="1" t="s">
        <v>152</v>
      </c>
      <c r="C29" s="1">
        <v>2025</v>
      </c>
      <c r="D29" s="1">
        <v>10</v>
      </c>
      <c r="E29" s="1">
        <v>8</v>
      </c>
      <c r="F29" s="1" t="s">
        <v>101</v>
      </c>
      <c r="G29" s="1" t="s">
        <v>25</v>
      </c>
      <c r="H29" s="1" t="s">
        <v>102</v>
      </c>
      <c r="I29" s="1" t="s">
        <v>103</v>
      </c>
      <c r="J29" s="1">
        <v>6</v>
      </c>
      <c r="K29" s="1" t="s">
        <v>59</v>
      </c>
      <c r="L29" s="1" t="s">
        <v>37</v>
      </c>
      <c r="M29" s="1">
        <v>1</v>
      </c>
      <c r="N29" s="14">
        <v>450</v>
      </c>
      <c r="O29" s="14">
        <v>450</v>
      </c>
      <c r="P29" s="14">
        <v>50</v>
      </c>
      <c r="Q29" s="1" t="s">
        <v>76</v>
      </c>
      <c r="R29" s="1" t="s">
        <v>31</v>
      </c>
      <c r="S29" s="1" t="s">
        <v>78</v>
      </c>
      <c r="T29" s="1" t="s">
        <v>57</v>
      </c>
      <c r="U29" s="1" t="s">
        <v>57</v>
      </c>
      <c r="V29" s="1" t="s">
        <v>153</v>
      </c>
    </row>
    <row r="30" spans="1:22">
      <c r="A30" s="2" t="s">
        <v>151</v>
      </c>
      <c r="B30" s="1" t="s">
        <v>152</v>
      </c>
      <c r="C30" s="1">
        <v>2025</v>
      </c>
      <c r="D30" s="1">
        <v>10</v>
      </c>
      <c r="E30" s="1">
        <v>8</v>
      </c>
      <c r="F30" s="1" t="s">
        <v>101</v>
      </c>
      <c r="G30" s="1" t="s">
        <v>25</v>
      </c>
      <c r="H30" s="1" t="s">
        <v>102</v>
      </c>
      <c r="I30" s="1" t="s">
        <v>103</v>
      </c>
      <c r="J30" s="1">
        <v>9</v>
      </c>
      <c r="K30" s="1" t="s">
        <v>47</v>
      </c>
      <c r="L30" s="1" t="s">
        <v>37</v>
      </c>
      <c r="M30" s="1">
        <v>5</v>
      </c>
      <c r="N30" s="14">
        <v>80</v>
      </c>
      <c r="O30" s="14">
        <v>400</v>
      </c>
      <c r="P30" s="14">
        <v>50</v>
      </c>
      <c r="Q30" s="1" t="s">
        <v>76</v>
      </c>
      <c r="R30" s="1" t="s">
        <v>31</v>
      </c>
      <c r="S30" s="1" t="s">
        <v>78</v>
      </c>
      <c r="T30" s="1" t="s">
        <v>57</v>
      </c>
      <c r="U30" s="1" t="s">
        <v>57</v>
      </c>
      <c r="V30" s="1" t="s">
        <v>153</v>
      </c>
    </row>
    <row r="31" spans="1:22">
      <c r="A31" s="2" t="s">
        <v>154</v>
      </c>
      <c r="B31" s="1" t="s">
        <v>155</v>
      </c>
      <c r="C31" s="1">
        <v>2025</v>
      </c>
      <c r="D31" s="1">
        <v>10</v>
      </c>
      <c r="E31" s="1">
        <v>9</v>
      </c>
      <c r="F31" s="1" t="s">
        <v>113</v>
      </c>
      <c r="G31" s="1" t="s">
        <v>25</v>
      </c>
      <c r="H31" s="1" t="s">
        <v>114</v>
      </c>
      <c r="I31" s="1" t="s">
        <v>103</v>
      </c>
      <c r="J31" s="1">
        <v>10</v>
      </c>
      <c r="K31" s="1" t="s">
        <v>74</v>
      </c>
      <c r="L31" s="1" t="s">
        <v>75</v>
      </c>
      <c r="M31" s="1">
        <v>1</v>
      </c>
      <c r="N31" s="14">
        <v>600</v>
      </c>
      <c r="O31" s="14">
        <v>600</v>
      </c>
      <c r="P31" s="14">
        <v>30</v>
      </c>
      <c r="Q31" s="1" t="s">
        <v>30</v>
      </c>
      <c r="R31" s="1" t="s">
        <v>54</v>
      </c>
      <c r="S31" s="1" t="s">
        <v>32</v>
      </c>
      <c r="T31" s="1" t="s">
        <v>156</v>
      </c>
      <c r="U31" s="1" t="s">
        <v>157</v>
      </c>
      <c r="V31" s="1" t="s">
        <v>158</v>
      </c>
    </row>
    <row r="32" spans="1:22">
      <c r="A32" s="2" t="s">
        <v>154</v>
      </c>
      <c r="B32" s="1" t="s">
        <v>155</v>
      </c>
      <c r="C32" s="1">
        <v>2025</v>
      </c>
      <c r="D32" s="1">
        <v>10</v>
      </c>
      <c r="E32" s="1">
        <v>9</v>
      </c>
      <c r="F32" s="1" t="s">
        <v>113</v>
      </c>
      <c r="G32" s="1" t="s">
        <v>25</v>
      </c>
      <c r="H32" s="1" t="s">
        <v>114</v>
      </c>
      <c r="I32" s="1" t="s">
        <v>103</v>
      </c>
      <c r="J32" s="1">
        <v>14</v>
      </c>
      <c r="K32" s="1" t="s">
        <v>80</v>
      </c>
      <c r="L32" s="1" t="s">
        <v>81</v>
      </c>
      <c r="M32" s="1">
        <v>1</v>
      </c>
      <c r="N32" s="14">
        <v>700</v>
      </c>
      <c r="O32" s="14">
        <v>700</v>
      </c>
      <c r="P32" s="14">
        <v>30</v>
      </c>
      <c r="Q32" s="1" t="s">
        <v>30</v>
      </c>
      <c r="R32" s="1" t="s">
        <v>54</v>
      </c>
      <c r="S32" s="1" t="s">
        <v>32</v>
      </c>
      <c r="T32" s="1" t="s">
        <v>156</v>
      </c>
      <c r="U32" s="1" t="s">
        <v>157</v>
      </c>
      <c r="V32" s="1" t="s">
        <v>158</v>
      </c>
    </row>
    <row r="33" spans="1:22">
      <c r="A33" s="2" t="s">
        <v>159</v>
      </c>
      <c r="B33" s="1" t="s">
        <v>160</v>
      </c>
      <c r="C33" s="1">
        <v>2025</v>
      </c>
      <c r="D33" s="1">
        <v>10</v>
      </c>
      <c r="E33" s="1">
        <v>10</v>
      </c>
      <c r="F33" s="1" t="s">
        <v>121</v>
      </c>
      <c r="G33" s="1" t="s">
        <v>25</v>
      </c>
      <c r="H33" s="1" t="s">
        <v>122</v>
      </c>
      <c r="I33" s="1" t="s">
        <v>27</v>
      </c>
      <c r="J33" s="1">
        <v>24</v>
      </c>
      <c r="K33" s="1" t="s">
        <v>161</v>
      </c>
      <c r="L33" s="1" t="s">
        <v>75</v>
      </c>
      <c r="M33" s="1">
        <v>1</v>
      </c>
      <c r="N33" s="14">
        <v>980</v>
      </c>
      <c r="O33" s="14">
        <v>980</v>
      </c>
      <c r="P33" s="14">
        <v>25</v>
      </c>
      <c r="Q33" s="1" t="s">
        <v>32</v>
      </c>
      <c r="R33" s="1" t="s">
        <v>44</v>
      </c>
      <c r="S33" s="1" t="s">
        <v>32</v>
      </c>
      <c r="T33" s="1" t="s">
        <v>162</v>
      </c>
      <c r="U33" s="1" t="s">
        <v>163</v>
      </c>
      <c r="V33" s="1" t="s">
        <v>164</v>
      </c>
    </row>
    <row r="34" spans="1:22">
      <c r="A34" s="2" t="s">
        <v>159</v>
      </c>
      <c r="B34" s="1" t="s">
        <v>160</v>
      </c>
      <c r="C34" s="1">
        <v>2025</v>
      </c>
      <c r="D34" s="1">
        <v>10</v>
      </c>
      <c r="E34" s="1">
        <v>10</v>
      </c>
      <c r="F34" s="1" t="s">
        <v>121</v>
      </c>
      <c r="G34" s="1" t="s">
        <v>25</v>
      </c>
      <c r="H34" s="1" t="s">
        <v>122</v>
      </c>
      <c r="I34" s="1" t="s">
        <v>27</v>
      </c>
      <c r="J34" s="1">
        <v>25</v>
      </c>
      <c r="K34" s="1" t="s">
        <v>165</v>
      </c>
      <c r="L34" s="1" t="s">
        <v>166</v>
      </c>
      <c r="M34" s="1">
        <v>1</v>
      </c>
      <c r="N34" s="14">
        <v>2500</v>
      </c>
      <c r="O34" s="14">
        <v>2500</v>
      </c>
      <c r="P34" s="14">
        <v>25</v>
      </c>
      <c r="Q34" s="1" t="s">
        <v>32</v>
      </c>
      <c r="R34" s="1" t="s">
        <v>44</v>
      </c>
      <c r="S34" s="1" t="s">
        <v>32</v>
      </c>
      <c r="T34" s="1" t="s">
        <v>162</v>
      </c>
      <c r="U34" s="1" t="s">
        <v>163</v>
      </c>
      <c r="V34" s="1" t="s">
        <v>164</v>
      </c>
    </row>
    <row r="35" spans="1:22">
      <c r="A35" s="2" t="s">
        <v>167</v>
      </c>
      <c r="B35" s="1" t="s">
        <v>168</v>
      </c>
      <c r="C35" s="1">
        <v>2025</v>
      </c>
      <c r="D35" s="1">
        <v>10</v>
      </c>
      <c r="E35" s="1">
        <v>11</v>
      </c>
      <c r="F35" s="1" t="s">
        <v>126</v>
      </c>
      <c r="G35" s="1" t="s">
        <v>71</v>
      </c>
      <c r="H35" s="1" t="s">
        <v>72</v>
      </c>
      <c r="I35" s="1" t="s">
        <v>73</v>
      </c>
      <c r="J35" s="1">
        <v>1</v>
      </c>
      <c r="K35" s="1" t="s">
        <v>28</v>
      </c>
      <c r="L35" s="1" t="s">
        <v>29</v>
      </c>
      <c r="M35" s="1">
        <v>1</v>
      </c>
      <c r="N35" s="14">
        <v>4800</v>
      </c>
      <c r="O35" s="14">
        <v>4800</v>
      </c>
      <c r="P35" s="14">
        <v>40</v>
      </c>
      <c r="Q35" s="1" t="s">
        <v>30</v>
      </c>
      <c r="R35" s="1" t="s">
        <v>31</v>
      </c>
      <c r="S35" s="1" t="s">
        <v>55</v>
      </c>
      <c r="T35" s="1" t="s">
        <v>169</v>
      </c>
      <c r="U35" s="1" t="s">
        <v>57</v>
      </c>
      <c r="V35" s="1" t="s">
        <v>170</v>
      </c>
    </row>
    <row r="36" spans="1:22">
      <c r="A36" s="2" t="s">
        <v>167</v>
      </c>
      <c r="B36" s="1" t="s">
        <v>168</v>
      </c>
      <c r="C36" s="1">
        <v>2025</v>
      </c>
      <c r="D36" s="1">
        <v>10</v>
      </c>
      <c r="E36" s="1">
        <v>11</v>
      </c>
      <c r="F36" s="1" t="s">
        <v>126</v>
      </c>
      <c r="G36" s="1" t="s">
        <v>71</v>
      </c>
      <c r="H36" s="1" t="s">
        <v>72</v>
      </c>
      <c r="I36" s="1" t="s">
        <v>73</v>
      </c>
      <c r="J36" s="1">
        <v>7</v>
      </c>
      <c r="K36" s="1" t="s">
        <v>64</v>
      </c>
      <c r="L36" s="1" t="s">
        <v>65</v>
      </c>
      <c r="M36" s="1">
        <v>1</v>
      </c>
      <c r="N36" s="14">
        <v>1350</v>
      </c>
      <c r="O36" s="14">
        <v>1350</v>
      </c>
      <c r="P36" s="14">
        <v>40</v>
      </c>
      <c r="Q36" s="1" t="s">
        <v>30</v>
      </c>
      <c r="R36" s="1" t="s">
        <v>31</v>
      </c>
      <c r="S36" s="1" t="s">
        <v>55</v>
      </c>
      <c r="T36" s="1" t="s">
        <v>169</v>
      </c>
      <c r="U36" s="1" t="s">
        <v>57</v>
      </c>
      <c r="V36" s="1" t="s">
        <v>170</v>
      </c>
    </row>
    <row r="37" spans="1:22">
      <c r="A37" s="2" t="s">
        <v>171</v>
      </c>
      <c r="B37" s="1" t="s">
        <v>172</v>
      </c>
      <c r="C37" s="1">
        <v>2025</v>
      </c>
      <c r="D37" s="1">
        <v>10</v>
      </c>
      <c r="E37" s="1">
        <v>12</v>
      </c>
      <c r="F37" s="1" t="s">
        <v>131</v>
      </c>
      <c r="G37" s="1" t="s">
        <v>71</v>
      </c>
      <c r="H37" s="1" t="s">
        <v>132</v>
      </c>
      <c r="I37" s="1" t="s">
        <v>96</v>
      </c>
      <c r="J37" s="1">
        <v>11</v>
      </c>
      <c r="K37" s="1" t="s">
        <v>104</v>
      </c>
      <c r="L37" s="1" t="s">
        <v>105</v>
      </c>
      <c r="M37" s="1">
        <v>1</v>
      </c>
      <c r="N37" s="14">
        <v>280</v>
      </c>
      <c r="O37" s="14">
        <v>280</v>
      </c>
      <c r="P37" s="14">
        <v>45</v>
      </c>
      <c r="Q37" s="1" t="s">
        <v>76</v>
      </c>
      <c r="R37" s="1" t="s">
        <v>77</v>
      </c>
      <c r="S37" s="1" t="s">
        <v>78</v>
      </c>
      <c r="T37" s="1" t="s">
        <v>57</v>
      </c>
      <c r="U37" s="1" t="s">
        <v>57</v>
      </c>
      <c r="V37" s="1" t="s">
        <v>173</v>
      </c>
    </row>
    <row r="38" spans="1:22">
      <c r="A38" s="2" t="s">
        <v>171</v>
      </c>
      <c r="B38" s="1" t="s">
        <v>172</v>
      </c>
      <c r="C38" s="1">
        <v>2025</v>
      </c>
      <c r="D38" s="1">
        <v>10</v>
      </c>
      <c r="E38" s="1">
        <v>12</v>
      </c>
      <c r="F38" s="1" t="s">
        <v>131</v>
      </c>
      <c r="G38" s="1" t="s">
        <v>71</v>
      </c>
      <c r="H38" s="1" t="s">
        <v>132</v>
      </c>
      <c r="I38" s="1" t="s">
        <v>96</v>
      </c>
      <c r="J38" s="1">
        <v>13</v>
      </c>
      <c r="K38" s="1" t="s">
        <v>109</v>
      </c>
      <c r="L38" s="1" t="s">
        <v>110</v>
      </c>
      <c r="M38" s="1">
        <v>1</v>
      </c>
      <c r="N38" s="14">
        <v>1100</v>
      </c>
      <c r="O38" s="14">
        <v>1100</v>
      </c>
      <c r="P38" s="14">
        <v>45</v>
      </c>
      <c r="Q38" s="1" t="s">
        <v>76</v>
      </c>
      <c r="R38" s="1" t="s">
        <v>77</v>
      </c>
      <c r="S38" s="1" t="s">
        <v>78</v>
      </c>
      <c r="T38" s="1" t="s">
        <v>57</v>
      </c>
      <c r="U38" s="1" t="s">
        <v>57</v>
      </c>
      <c r="V38" s="1" t="s">
        <v>173</v>
      </c>
    </row>
    <row r="39" spans="1:22">
      <c r="A39" s="2" t="s">
        <v>174</v>
      </c>
      <c r="B39" s="1" t="s">
        <v>175</v>
      </c>
      <c r="C39" s="1">
        <v>2025</v>
      </c>
      <c r="D39" s="1">
        <v>10</v>
      </c>
      <c r="E39" s="1">
        <v>5</v>
      </c>
      <c r="F39" s="1" t="s">
        <v>70</v>
      </c>
      <c r="G39" s="1" t="s">
        <v>71</v>
      </c>
      <c r="H39" s="1" t="s">
        <v>72</v>
      </c>
      <c r="I39" s="1" t="s">
        <v>73</v>
      </c>
      <c r="J39" s="1">
        <v>8</v>
      </c>
      <c r="K39" s="1" t="s">
        <v>86</v>
      </c>
      <c r="L39" s="1" t="s">
        <v>29</v>
      </c>
      <c r="M39" s="1">
        <v>2</v>
      </c>
      <c r="N39" s="14">
        <v>550</v>
      </c>
      <c r="O39" s="14">
        <v>1100</v>
      </c>
      <c r="P39" s="14">
        <v>30</v>
      </c>
      <c r="Q39" s="1" t="s">
        <v>32</v>
      </c>
      <c r="R39" s="1" t="s">
        <v>31</v>
      </c>
      <c r="S39" s="1" t="s">
        <v>32</v>
      </c>
      <c r="T39" s="1" t="s">
        <v>176</v>
      </c>
      <c r="U39" s="1" t="s">
        <v>177</v>
      </c>
      <c r="V39" s="1" t="s">
        <v>178</v>
      </c>
    </row>
    <row r="40" spans="1:22">
      <c r="A40" s="2" t="s">
        <v>179</v>
      </c>
      <c r="B40" s="1" t="s">
        <v>180</v>
      </c>
      <c r="C40" s="1">
        <v>2025</v>
      </c>
      <c r="D40" s="1">
        <v>10</v>
      </c>
      <c r="E40" s="1">
        <v>6</v>
      </c>
      <c r="F40" s="1" t="s">
        <v>84</v>
      </c>
      <c r="G40" s="1" t="s">
        <v>71</v>
      </c>
      <c r="H40" s="1" t="s">
        <v>85</v>
      </c>
      <c r="I40" s="1" t="s">
        <v>73</v>
      </c>
      <c r="J40" s="1">
        <v>12</v>
      </c>
      <c r="K40" s="1" t="s">
        <v>90</v>
      </c>
      <c r="L40" s="1" t="s">
        <v>91</v>
      </c>
      <c r="M40" s="1">
        <v>1</v>
      </c>
      <c r="N40" s="14">
        <v>500</v>
      </c>
      <c r="O40" s="14">
        <v>500</v>
      </c>
      <c r="P40" s="14">
        <v>30</v>
      </c>
      <c r="Q40" s="1" t="s">
        <v>30</v>
      </c>
      <c r="R40" s="1" t="s">
        <v>54</v>
      </c>
      <c r="S40" s="1" t="s">
        <v>32</v>
      </c>
      <c r="T40" s="1" t="s">
        <v>176</v>
      </c>
      <c r="U40" s="1" t="s">
        <v>177</v>
      </c>
      <c r="V40" s="1" t="s">
        <v>181</v>
      </c>
    </row>
    <row r="41" spans="1:22">
      <c r="A41" s="2" t="s">
        <v>179</v>
      </c>
      <c r="B41" s="1" t="s">
        <v>180</v>
      </c>
      <c r="C41" s="1">
        <v>2025</v>
      </c>
      <c r="D41" s="1">
        <v>10</v>
      </c>
      <c r="E41" s="1">
        <v>6</v>
      </c>
      <c r="F41" s="1" t="s">
        <v>84</v>
      </c>
      <c r="G41" s="1" t="s">
        <v>71</v>
      </c>
      <c r="H41" s="1" t="s">
        <v>85</v>
      </c>
      <c r="I41" s="1" t="s">
        <v>73</v>
      </c>
      <c r="J41" s="1">
        <v>15</v>
      </c>
      <c r="K41" s="1" t="s">
        <v>97</v>
      </c>
      <c r="L41" s="1" t="s">
        <v>37</v>
      </c>
      <c r="M41" s="1">
        <v>1</v>
      </c>
      <c r="N41" s="14">
        <v>420</v>
      </c>
      <c r="O41" s="14">
        <v>420</v>
      </c>
      <c r="P41" s="14">
        <v>30</v>
      </c>
      <c r="Q41" s="1" t="s">
        <v>30</v>
      </c>
      <c r="R41" s="1" t="s">
        <v>54</v>
      </c>
      <c r="S41" s="1" t="s">
        <v>32</v>
      </c>
      <c r="T41" s="1" t="s">
        <v>176</v>
      </c>
      <c r="U41" s="1" t="s">
        <v>177</v>
      </c>
      <c r="V41" s="1" t="s">
        <v>181</v>
      </c>
    </row>
    <row r="42" spans="1:22">
      <c r="A42" s="2" t="s">
        <v>182</v>
      </c>
      <c r="B42" s="1" t="s">
        <v>183</v>
      </c>
      <c r="C42" s="1">
        <v>2025</v>
      </c>
      <c r="D42" s="1">
        <v>10</v>
      </c>
      <c r="E42" s="1">
        <v>7</v>
      </c>
      <c r="F42" s="1" t="s">
        <v>94</v>
      </c>
      <c r="G42" s="1" t="s">
        <v>71</v>
      </c>
      <c r="H42" s="1" t="s">
        <v>95</v>
      </c>
      <c r="I42" s="1" t="s">
        <v>96</v>
      </c>
      <c r="J42" s="1">
        <v>19</v>
      </c>
      <c r="K42" s="1" t="s">
        <v>118</v>
      </c>
      <c r="L42" s="1" t="s">
        <v>37</v>
      </c>
      <c r="M42" s="1">
        <v>1</v>
      </c>
      <c r="N42" s="14">
        <v>180</v>
      </c>
      <c r="O42" s="14">
        <v>180</v>
      </c>
      <c r="P42" s="14">
        <v>35</v>
      </c>
      <c r="Q42" s="1" t="s">
        <v>30</v>
      </c>
      <c r="R42" s="1" t="s">
        <v>44</v>
      </c>
      <c r="S42" s="1" t="s">
        <v>55</v>
      </c>
      <c r="T42" s="1" t="s">
        <v>184</v>
      </c>
      <c r="U42" s="1" t="s">
        <v>57</v>
      </c>
      <c r="V42" s="1" t="s">
        <v>185</v>
      </c>
    </row>
    <row r="43" spans="1:22">
      <c r="A43" s="2" t="s">
        <v>182</v>
      </c>
      <c r="B43" s="1" t="s">
        <v>183</v>
      </c>
      <c r="C43" s="1">
        <v>2025</v>
      </c>
      <c r="D43" s="1">
        <v>10</v>
      </c>
      <c r="E43" s="1">
        <v>7</v>
      </c>
      <c r="F43" s="1" t="s">
        <v>94</v>
      </c>
      <c r="G43" s="1" t="s">
        <v>71</v>
      </c>
      <c r="H43" s="1" t="s">
        <v>95</v>
      </c>
      <c r="I43" s="1" t="s">
        <v>96</v>
      </c>
      <c r="J43" s="1">
        <v>3</v>
      </c>
      <c r="K43" s="1" t="s">
        <v>36</v>
      </c>
      <c r="L43" s="1" t="s">
        <v>37</v>
      </c>
      <c r="M43" s="1">
        <v>2</v>
      </c>
      <c r="N43" s="14">
        <v>250</v>
      </c>
      <c r="O43" s="14">
        <v>500</v>
      </c>
      <c r="P43" s="14">
        <v>35</v>
      </c>
      <c r="Q43" s="1" t="s">
        <v>30</v>
      </c>
      <c r="R43" s="1" t="s">
        <v>44</v>
      </c>
      <c r="S43" s="1" t="s">
        <v>55</v>
      </c>
      <c r="T43" s="1" t="s">
        <v>184</v>
      </c>
      <c r="U43" s="1" t="s">
        <v>57</v>
      </c>
      <c r="V43" s="1" t="s">
        <v>185</v>
      </c>
    </row>
    <row r="44" spans="1:22">
      <c r="A44" s="2" t="s">
        <v>186</v>
      </c>
      <c r="B44" s="1" t="s">
        <v>187</v>
      </c>
      <c r="C44" s="1">
        <v>2025</v>
      </c>
      <c r="D44" s="1">
        <v>10</v>
      </c>
      <c r="E44" s="1">
        <v>8</v>
      </c>
      <c r="F44" s="1" t="s">
        <v>101</v>
      </c>
      <c r="G44" s="1" t="s">
        <v>25</v>
      </c>
      <c r="H44" s="1" t="s">
        <v>102</v>
      </c>
      <c r="I44" s="1" t="s">
        <v>103</v>
      </c>
      <c r="J44" s="1">
        <v>9</v>
      </c>
      <c r="K44" s="1" t="s">
        <v>47</v>
      </c>
      <c r="L44" s="1" t="s">
        <v>37</v>
      </c>
      <c r="M44" s="1">
        <v>5</v>
      </c>
      <c r="N44" s="14">
        <v>80</v>
      </c>
      <c r="O44" s="14">
        <v>400</v>
      </c>
      <c r="P44" s="14">
        <v>25</v>
      </c>
      <c r="Q44" s="1" t="s">
        <v>30</v>
      </c>
      <c r="R44" s="1" t="s">
        <v>31</v>
      </c>
      <c r="S44" s="1" t="s">
        <v>78</v>
      </c>
      <c r="T44" s="1" t="s">
        <v>57</v>
      </c>
      <c r="U44" s="1" t="s">
        <v>57</v>
      </c>
      <c r="V44" s="1" t="s">
        <v>188</v>
      </c>
    </row>
    <row r="45" spans="1:22">
      <c r="A45" s="2" t="s">
        <v>186</v>
      </c>
      <c r="B45" s="1" t="s">
        <v>187</v>
      </c>
      <c r="C45" s="1">
        <v>2025</v>
      </c>
      <c r="D45" s="1">
        <v>10</v>
      </c>
      <c r="E45" s="1">
        <v>8</v>
      </c>
      <c r="F45" s="1" t="s">
        <v>101</v>
      </c>
      <c r="G45" s="1" t="s">
        <v>25</v>
      </c>
      <c r="H45" s="1" t="s">
        <v>102</v>
      </c>
      <c r="I45" s="1" t="s">
        <v>103</v>
      </c>
      <c r="J45" s="1">
        <v>6</v>
      </c>
      <c r="K45" s="1" t="s">
        <v>59</v>
      </c>
      <c r="L45" s="1" t="s">
        <v>37</v>
      </c>
      <c r="M45" s="1">
        <v>1</v>
      </c>
      <c r="N45" s="14">
        <v>450</v>
      </c>
      <c r="O45" s="14">
        <v>450</v>
      </c>
      <c r="P45" s="14">
        <v>25</v>
      </c>
      <c r="Q45" s="1" t="s">
        <v>30</v>
      </c>
      <c r="R45" s="1" t="s">
        <v>31</v>
      </c>
      <c r="S45" s="1" t="s">
        <v>78</v>
      </c>
      <c r="T45" s="1" t="s">
        <v>57</v>
      </c>
      <c r="U45" s="1" t="s">
        <v>57</v>
      </c>
      <c r="V45" s="1" t="s">
        <v>188</v>
      </c>
    </row>
    <row r="46" spans="1:22">
      <c r="A46" s="2" t="s">
        <v>189</v>
      </c>
      <c r="B46" s="1" t="s">
        <v>190</v>
      </c>
      <c r="C46" s="1">
        <v>2025</v>
      </c>
      <c r="D46" s="1">
        <v>10</v>
      </c>
      <c r="E46" s="1">
        <v>9</v>
      </c>
      <c r="F46" s="1" t="s">
        <v>113</v>
      </c>
      <c r="G46" s="1" t="s">
        <v>25</v>
      </c>
      <c r="H46" s="1" t="s">
        <v>114</v>
      </c>
      <c r="I46" s="1" t="s">
        <v>103</v>
      </c>
      <c r="J46" s="1">
        <v>4</v>
      </c>
      <c r="K46" s="1" t="s">
        <v>127</v>
      </c>
      <c r="L46" s="1" t="s">
        <v>37</v>
      </c>
      <c r="M46" s="1">
        <v>1</v>
      </c>
      <c r="N46" s="14">
        <v>320</v>
      </c>
      <c r="O46" s="14">
        <v>320</v>
      </c>
      <c r="P46" s="14">
        <v>0</v>
      </c>
      <c r="Q46" s="1" t="s">
        <v>66</v>
      </c>
      <c r="R46" s="1" t="s">
        <v>67</v>
      </c>
      <c r="S46" s="1" t="s">
        <v>78</v>
      </c>
      <c r="T46" s="1" t="s">
        <v>57</v>
      </c>
      <c r="U46" s="1" t="s">
        <v>57</v>
      </c>
      <c r="V46" s="1" t="s">
        <v>191</v>
      </c>
    </row>
    <row r="47" spans="1:22">
      <c r="A47" s="2" t="s">
        <v>189</v>
      </c>
      <c r="B47" s="1" t="s">
        <v>190</v>
      </c>
      <c r="C47" s="1">
        <v>2025</v>
      </c>
      <c r="D47" s="1">
        <v>10</v>
      </c>
      <c r="E47" s="1">
        <v>9</v>
      </c>
      <c r="F47" s="1" t="s">
        <v>113</v>
      </c>
      <c r="G47" s="1" t="s">
        <v>25</v>
      </c>
      <c r="H47" s="1" t="s">
        <v>114</v>
      </c>
      <c r="I47" s="1" t="s">
        <v>103</v>
      </c>
      <c r="J47" s="1">
        <v>5</v>
      </c>
      <c r="K47" s="1" t="s">
        <v>52</v>
      </c>
      <c r="L47" s="1" t="s">
        <v>29</v>
      </c>
      <c r="M47" s="1">
        <v>1</v>
      </c>
      <c r="N47" s="14">
        <v>1200</v>
      </c>
      <c r="O47" s="14">
        <v>1200</v>
      </c>
      <c r="P47" s="14">
        <v>0</v>
      </c>
      <c r="Q47" s="1" t="s">
        <v>66</v>
      </c>
      <c r="R47" s="1" t="s">
        <v>67</v>
      </c>
      <c r="S47" s="1" t="s">
        <v>78</v>
      </c>
      <c r="T47" s="1" t="s">
        <v>57</v>
      </c>
      <c r="U47" s="1" t="s">
        <v>57</v>
      </c>
      <c r="V47" s="1" t="s">
        <v>191</v>
      </c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4"/>
      <c r="O48" s="14"/>
      <c r="P48" s="1"/>
      <c r="Q48" s="1"/>
      <c r="R48" s="1"/>
      <c r="S48" s="1"/>
      <c r="T48" s="1"/>
      <c r="U48" s="1"/>
      <c r="V4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0C76-748A-4014-AAB4-8D486821FC90}">
  <dimension ref="B2:J83"/>
  <sheetViews>
    <sheetView tabSelected="1" topLeftCell="A36" workbookViewId="0">
      <selection activeCell="J48" sqref="J48:J51"/>
    </sheetView>
  </sheetViews>
  <sheetFormatPr defaultRowHeight="15"/>
  <cols>
    <col min="2" max="2" width="19.28515625" bestFit="1" customWidth="1"/>
    <col min="3" max="3" width="15.42578125" bestFit="1" customWidth="1"/>
    <col min="4" max="4" width="12.5703125" bestFit="1" customWidth="1"/>
    <col min="6" max="6" width="14.28515625" customWidth="1"/>
    <col min="7" max="7" width="15.42578125" customWidth="1"/>
    <col min="8" max="8" width="12.5703125" customWidth="1"/>
    <col min="9" max="9" width="18.42578125" customWidth="1"/>
    <col min="10" max="10" width="22.42578125" bestFit="1" customWidth="1"/>
    <col min="11" max="11" width="12.5703125" bestFit="1" customWidth="1"/>
  </cols>
  <sheetData>
    <row r="2" spans="2:10" ht="16.5">
      <c r="B2" s="7" t="s">
        <v>192</v>
      </c>
      <c r="C2" s="7"/>
      <c r="D2" s="7"/>
      <c r="F2" s="7" t="s">
        <v>193</v>
      </c>
      <c r="G2" s="7"/>
      <c r="H2" s="7"/>
      <c r="I2" s="7"/>
    </row>
    <row r="3" spans="2:10">
      <c r="B3" s="3"/>
      <c r="F3" s="3"/>
    </row>
    <row r="4" spans="2:10">
      <c r="B4" s="9" t="s">
        <v>16</v>
      </c>
      <c r="C4" s="10" t="s">
        <v>194</v>
      </c>
      <c r="F4" s="9" t="s">
        <v>16</v>
      </c>
      <c r="G4" s="10" t="s">
        <v>194</v>
      </c>
    </row>
    <row r="5" spans="2:10">
      <c r="B5" s="9" t="s">
        <v>18</v>
      </c>
      <c r="C5" s="10" t="s">
        <v>195</v>
      </c>
      <c r="F5" s="9" t="s">
        <v>18</v>
      </c>
      <c r="G5" s="10" t="s">
        <v>195</v>
      </c>
    </row>
    <row r="7" spans="2:10">
      <c r="B7" s="9" t="s">
        <v>3</v>
      </c>
      <c r="C7" s="9" t="s">
        <v>2</v>
      </c>
      <c r="D7" s="10" t="s">
        <v>196</v>
      </c>
      <c r="F7" s="9" t="s">
        <v>3</v>
      </c>
      <c r="G7" s="9" t="s">
        <v>2</v>
      </c>
      <c r="H7" s="10" t="s">
        <v>196</v>
      </c>
      <c r="I7" s="10" t="s">
        <v>197</v>
      </c>
    </row>
    <row r="8" spans="2:10">
      <c r="B8" s="10">
        <v>9</v>
      </c>
      <c r="C8" s="10">
        <v>2025</v>
      </c>
      <c r="D8" s="17">
        <v>13470</v>
      </c>
      <c r="F8" s="10">
        <v>9</v>
      </c>
      <c r="G8" s="10">
        <v>2025</v>
      </c>
      <c r="H8" s="17">
        <v>13470</v>
      </c>
      <c r="I8" s="11">
        <v>12</v>
      </c>
    </row>
    <row r="9" spans="2:10">
      <c r="B9" s="10" t="s">
        <v>198</v>
      </c>
      <c r="C9" s="10"/>
      <c r="D9" s="17">
        <v>13470</v>
      </c>
      <c r="F9" s="10" t="s">
        <v>198</v>
      </c>
      <c r="G9" s="10"/>
      <c r="H9" s="17">
        <v>13470</v>
      </c>
      <c r="I9" s="11">
        <v>12</v>
      </c>
    </row>
    <row r="10" spans="2:10">
      <c r="B10" s="10">
        <v>10</v>
      </c>
      <c r="C10" s="10">
        <v>2025</v>
      </c>
      <c r="D10" s="17">
        <v>26830</v>
      </c>
      <c r="F10" s="10">
        <v>10</v>
      </c>
      <c r="G10" s="10">
        <v>2025</v>
      </c>
      <c r="H10" s="17">
        <v>26830</v>
      </c>
      <c r="I10" s="11">
        <v>30</v>
      </c>
    </row>
    <row r="11" spans="2:10">
      <c r="B11" s="10" t="s">
        <v>199</v>
      </c>
      <c r="C11" s="10"/>
      <c r="D11" s="17">
        <v>26830</v>
      </c>
      <c r="F11" s="10" t="s">
        <v>199</v>
      </c>
      <c r="G11" s="10"/>
      <c r="H11" s="17">
        <v>26830</v>
      </c>
      <c r="I11" s="11">
        <v>30</v>
      </c>
    </row>
    <row r="12" spans="2:10">
      <c r="B12" s="10" t="s">
        <v>200</v>
      </c>
      <c r="C12" s="10"/>
      <c r="D12" s="17">
        <v>40300</v>
      </c>
      <c r="F12" s="10" t="s">
        <v>200</v>
      </c>
      <c r="G12" s="10"/>
      <c r="H12" s="17">
        <v>40300</v>
      </c>
      <c r="I12" s="11">
        <v>42</v>
      </c>
      <c r="J12" s="18">
        <f>H12/I12</f>
        <v>959.52380952380952</v>
      </c>
    </row>
    <row r="14" spans="2:10" ht="16.5" customHeight="1"/>
    <row r="15" spans="2:10">
      <c r="I15" s="6" t="s">
        <v>201</v>
      </c>
      <c r="J15" s="6"/>
    </row>
    <row r="16" spans="2:10" ht="16.5" customHeight="1">
      <c r="B16" s="7" t="s">
        <v>202</v>
      </c>
      <c r="C16" s="7"/>
      <c r="D16" s="5"/>
      <c r="F16" s="6" t="s">
        <v>203</v>
      </c>
      <c r="G16" s="6"/>
      <c r="I16" s="6"/>
      <c r="J16" s="6"/>
    </row>
    <row r="17" spans="2:10" ht="16.5">
      <c r="B17" s="4"/>
      <c r="C17" s="4"/>
      <c r="D17" s="4"/>
      <c r="F17" s="6"/>
      <c r="G17" s="6"/>
      <c r="I17" s="6"/>
      <c r="J17" s="6"/>
    </row>
    <row r="18" spans="2:10" ht="16.5">
      <c r="B18" s="9" t="s">
        <v>2</v>
      </c>
      <c r="C18" s="10" t="s">
        <v>195</v>
      </c>
      <c r="F18" s="4"/>
      <c r="G18" s="4"/>
      <c r="I18" s="4"/>
      <c r="J18" s="4"/>
    </row>
    <row r="19" spans="2:10">
      <c r="B19" s="9" t="s">
        <v>3</v>
      </c>
      <c r="C19" s="10" t="s">
        <v>195</v>
      </c>
      <c r="F19" s="9" t="s">
        <v>2</v>
      </c>
      <c r="G19" s="10" t="s">
        <v>195</v>
      </c>
      <c r="I19" s="9" t="s">
        <v>2</v>
      </c>
      <c r="J19" s="10" t="s">
        <v>195</v>
      </c>
    </row>
    <row r="20" spans="2:10">
      <c r="B20" s="9" t="s">
        <v>16</v>
      </c>
      <c r="C20" s="10" t="s">
        <v>194</v>
      </c>
      <c r="F20" s="9" t="s">
        <v>3</v>
      </c>
      <c r="G20" s="10" t="s">
        <v>195</v>
      </c>
      <c r="I20" s="9" t="s">
        <v>3</v>
      </c>
      <c r="J20" s="10" t="s">
        <v>195</v>
      </c>
    </row>
    <row r="21" spans="2:10">
      <c r="F21" s="9" t="s">
        <v>16</v>
      </c>
      <c r="G21" s="10" t="s">
        <v>194</v>
      </c>
      <c r="I21" s="9" t="s">
        <v>16</v>
      </c>
      <c r="J21" s="10" t="s">
        <v>194</v>
      </c>
    </row>
    <row r="22" spans="2:10">
      <c r="B22" s="9" t="s">
        <v>10</v>
      </c>
      <c r="C22" s="10" t="s">
        <v>196</v>
      </c>
    </row>
    <row r="23" spans="2:10">
      <c r="B23" s="10" t="s">
        <v>28</v>
      </c>
      <c r="C23" s="17">
        <v>9600</v>
      </c>
      <c r="F23" s="9" t="s">
        <v>11</v>
      </c>
      <c r="G23" s="10" t="s">
        <v>196</v>
      </c>
      <c r="I23" s="9" t="s">
        <v>17</v>
      </c>
      <c r="J23" s="10" t="s">
        <v>196</v>
      </c>
    </row>
    <row r="24" spans="2:10">
      <c r="B24" s="10" t="s">
        <v>42</v>
      </c>
      <c r="C24" s="17">
        <v>7200</v>
      </c>
      <c r="F24" s="10" t="s">
        <v>29</v>
      </c>
      <c r="G24" s="13">
        <v>0.37444168734491318</v>
      </c>
      <c r="I24" s="10" t="s">
        <v>31</v>
      </c>
      <c r="J24" s="13">
        <v>0.38858560794044666</v>
      </c>
    </row>
    <row r="25" spans="2:10">
      <c r="B25" s="10" t="s">
        <v>165</v>
      </c>
      <c r="C25" s="17">
        <v>2500</v>
      </c>
      <c r="F25" s="10" t="s">
        <v>43</v>
      </c>
      <c r="G25" s="13">
        <v>0.17866004962779156</v>
      </c>
      <c r="I25" s="10" t="s">
        <v>44</v>
      </c>
      <c r="J25" s="13">
        <v>0.26476426799007446</v>
      </c>
    </row>
    <row r="26" spans="2:10">
      <c r="B26" s="10" t="s">
        <v>52</v>
      </c>
      <c r="C26" s="17">
        <v>2400</v>
      </c>
      <c r="F26" s="10" t="s">
        <v>37</v>
      </c>
      <c r="G26" s="13">
        <v>0.14069478908188585</v>
      </c>
      <c r="I26" s="10" t="s">
        <v>54</v>
      </c>
      <c r="J26" s="13">
        <v>0.1598014888337469</v>
      </c>
    </row>
    <row r="27" spans="2:10">
      <c r="B27" s="10" t="s">
        <v>109</v>
      </c>
      <c r="C27" s="17">
        <v>2200</v>
      </c>
      <c r="F27" s="10" t="s">
        <v>75</v>
      </c>
      <c r="G27" s="13">
        <v>6.3771712158808933E-2</v>
      </c>
      <c r="I27" s="10" t="s">
        <v>67</v>
      </c>
      <c r="J27" s="13">
        <v>0.11166253101736973</v>
      </c>
    </row>
    <row r="28" spans="2:10">
      <c r="B28" s="10" t="s">
        <v>86</v>
      </c>
      <c r="C28" s="17">
        <v>1650</v>
      </c>
      <c r="F28" s="10" t="s">
        <v>166</v>
      </c>
      <c r="G28" s="13">
        <v>6.2034739454094295E-2</v>
      </c>
      <c r="I28" s="10" t="s">
        <v>77</v>
      </c>
      <c r="J28" s="13">
        <v>7.5186104218362276E-2</v>
      </c>
    </row>
    <row r="29" spans="2:10">
      <c r="B29" s="10" t="s">
        <v>115</v>
      </c>
      <c r="C29" s="17">
        <v>1440</v>
      </c>
      <c r="F29" s="10" t="s">
        <v>110</v>
      </c>
      <c r="G29" s="13">
        <v>5.4590570719602979E-2</v>
      </c>
      <c r="I29" s="10" t="s">
        <v>200</v>
      </c>
      <c r="J29" s="13">
        <v>1</v>
      </c>
    </row>
    <row r="30" spans="2:10">
      <c r="B30" s="10" t="s">
        <v>80</v>
      </c>
      <c r="C30" s="17">
        <v>1400</v>
      </c>
      <c r="F30" s="10" t="s">
        <v>81</v>
      </c>
      <c r="G30" s="13">
        <v>3.4739454094292806E-2</v>
      </c>
    </row>
    <row r="31" spans="2:10">
      <c r="B31" s="10" t="s">
        <v>59</v>
      </c>
      <c r="C31" s="17">
        <v>1350</v>
      </c>
      <c r="F31" s="10" t="s">
        <v>65</v>
      </c>
      <c r="G31" s="13">
        <v>3.3498759305210915E-2</v>
      </c>
    </row>
    <row r="32" spans="2:10">
      <c r="B32" s="10" t="s">
        <v>64</v>
      </c>
      <c r="C32" s="17">
        <v>1350</v>
      </c>
      <c r="F32" s="10" t="s">
        <v>105</v>
      </c>
      <c r="G32" s="13">
        <v>3.2754342431761785E-2</v>
      </c>
    </row>
    <row r="33" spans="2:10">
      <c r="B33" s="10" t="s">
        <v>200</v>
      </c>
      <c r="C33" s="17">
        <v>31090</v>
      </c>
      <c r="F33" s="10" t="s">
        <v>91</v>
      </c>
      <c r="G33" s="13">
        <v>2.4813895781637719E-2</v>
      </c>
    </row>
    <row r="34" spans="2:10">
      <c r="F34" s="10" t="s">
        <v>200</v>
      </c>
      <c r="G34" s="13">
        <v>1</v>
      </c>
    </row>
    <row r="39" spans="2:10" ht="15" customHeight="1">
      <c r="B39" s="6" t="s">
        <v>204</v>
      </c>
      <c r="C39" s="6"/>
      <c r="D39" s="6"/>
      <c r="F39" s="6" t="s">
        <v>205</v>
      </c>
      <c r="G39" s="6"/>
      <c r="H39" s="8"/>
      <c r="I39" s="6" t="s">
        <v>206</v>
      </c>
      <c r="J39" s="6"/>
    </row>
    <row r="40" spans="2:10" ht="15" customHeight="1">
      <c r="B40" s="6"/>
      <c r="C40" s="6"/>
      <c r="D40" s="6"/>
      <c r="F40" s="6"/>
      <c r="G40" s="6"/>
      <c r="H40" s="8"/>
      <c r="I40" s="6"/>
      <c r="J40" s="6"/>
    </row>
    <row r="41" spans="2:10" ht="15" customHeight="1">
      <c r="B41" s="6"/>
      <c r="C41" s="6"/>
      <c r="D41" s="6"/>
      <c r="F41" s="6"/>
      <c r="G41" s="6"/>
      <c r="H41" s="8"/>
      <c r="I41" s="6"/>
      <c r="J41" s="6"/>
    </row>
    <row r="42" spans="2:10" ht="16.5">
      <c r="B42" s="4"/>
      <c r="C42" s="4"/>
      <c r="F42" s="4"/>
      <c r="G42" s="4"/>
      <c r="I42" s="4"/>
      <c r="J42" s="4"/>
    </row>
    <row r="43" spans="2:10">
      <c r="B43" s="9" t="s">
        <v>2</v>
      </c>
      <c r="C43" s="10" t="s">
        <v>195</v>
      </c>
      <c r="F43" s="9" t="s">
        <v>2</v>
      </c>
      <c r="G43" s="10" t="s">
        <v>195</v>
      </c>
      <c r="I43" s="9" t="s">
        <v>2</v>
      </c>
      <c r="J43" s="10" t="s">
        <v>195</v>
      </c>
    </row>
    <row r="44" spans="2:10">
      <c r="B44" s="9" t="s">
        <v>3</v>
      </c>
      <c r="C44" s="10" t="s">
        <v>195</v>
      </c>
      <c r="F44" s="9" t="s">
        <v>3</v>
      </c>
      <c r="G44" s="10" t="s">
        <v>195</v>
      </c>
      <c r="I44" s="9" t="s">
        <v>3</v>
      </c>
      <c r="J44" s="10" t="s">
        <v>195</v>
      </c>
    </row>
    <row r="45" spans="2:10">
      <c r="B45" s="9" t="s">
        <v>8</v>
      </c>
      <c r="C45" s="10" t="s">
        <v>195</v>
      </c>
      <c r="F45" s="9" t="s">
        <v>18</v>
      </c>
      <c r="G45" s="10" t="s">
        <v>195</v>
      </c>
      <c r="I45" s="9" t="s">
        <v>18</v>
      </c>
      <c r="J45" s="10" t="s">
        <v>195</v>
      </c>
    </row>
    <row r="47" spans="2:10">
      <c r="B47" s="9" t="s">
        <v>5</v>
      </c>
      <c r="C47" s="10" t="s">
        <v>196</v>
      </c>
      <c r="D47" s="10" t="s">
        <v>197</v>
      </c>
      <c r="F47" s="9" t="s">
        <v>16</v>
      </c>
      <c r="G47" s="10" t="s">
        <v>197</v>
      </c>
      <c r="I47" s="9" t="s">
        <v>16</v>
      </c>
      <c r="J47" s="10" t="s">
        <v>207</v>
      </c>
    </row>
    <row r="48" spans="2:10">
      <c r="B48" s="10" t="s">
        <v>24</v>
      </c>
      <c r="C48" s="17">
        <v>8650</v>
      </c>
      <c r="D48" s="11">
        <v>3</v>
      </c>
      <c r="F48" s="10" t="s">
        <v>76</v>
      </c>
      <c r="G48" s="12">
        <v>6</v>
      </c>
      <c r="I48" s="10" t="s">
        <v>76</v>
      </c>
      <c r="J48" s="12">
        <v>6</v>
      </c>
    </row>
    <row r="49" spans="2:10">
      <c r="B49" s="10" t="s">
        <v>126</v>
      </c>
      <c r="C49" s="17">
        <v>7670</v>
      </c>
      <c r="D49" s="11">
        <v>4</v>
      </c>
      <c r="F49" s="10" t="s">
        <v>32</v>
      </c>
      <c r="G49" s="12">
        <v>9</v>
      </c>
      <c r="I49" s="10" t="s">
        <v>32</v>
      </c>
      <c r="J49" s="12">
        <v>9</v>
      </c>
    </row>
    <row r="50" spans="2:10">
      <c r="B50" s="10" t="s">
        <v>121</v>
      </c>
      <c r="C50" s="17">
        <v>6880</v>
      </c>
      <c r="D50" s="11">
        <v>3</v>
      </c>
      <c r="F50" s="10" t="s">
        <v>53</v>
      </c>
      <c r="G50" s="11">
        <v>4</v>
      </c>
      <c r="I50" s="10" t="s">
        <v>53</v>
      </c>
      <c r="J50" s="12">
        <v>4</v>
      </c>
    </row>
    <row r="51" spans="2:10">
      <c r="B51" s="10" t="s">
        <v>40</v>
      </c>
      <c r="C51" s="17">
        <v>4980</v>
      </c>
      <c r="D51" s="11">
        <v>4</v>
      </c>
      <c r="F51" s="10" t="s">
        <v>30</v>
      </c>
      <c r="G51" s="11">
        <v>23</v>
      </c>
      <c r="I51" s="10" t="s">
        <v>30</v>
      </c>
      <c r="J51" s="12">
        <v>23</v>
      </c>
    </row>
    <row r="52" spans="2:10">
      <c r="B52" s="10" t="s">
        <v>113</v>
      </c>
      <c r="C52" s="17">
        <v>3720</v>
      </c>
      <c r="D52" s="11">
        <v>6</v>
      </c>
    </row>
    <row r="53" spans="2:10">
      <c r="B53" s="10" t="s">
        <v>101</v>
      </c>
      <c r="C53" s="17">
        <v>3360</v>
      </c>
      <c r="D53" s="11">
        <v>6</v>
      </c>
    </row>
    <row r="54" spans="2:10">
      <c r="B54" s="10" t="s">
        <v>70</v>
      </c>
      <c r="C54" s="17">
        <v>2400</v>
      </c>
      <c r="D54" s="11">
        <v>3</v>
      </c>
    </row>
    <row r="55" spans="2:10">
      <c r="B55" s="10" t="s">
        <v>131</v>
      </c>
      <c r="C55" s="17">
        <v>2250</v>
      </c>
      <c r="D55" s="11">
        <v>4</v>
      </c>
    </row>
    <row r="56" spans="2:10">
      <c r="B56" s="10" t="s">
        <v>50</v>
      </c>
      <c r="C56" s="17">
        <v>2000</v>
      </c>
      <c r="D56" s="11">
        <v>4</v>
      </c>
    </row>
    <row r="57" spans="2:10">
      <c r="B57" s="10" t="s">
        <v>84</v>
      </c>
      <c r="C57" s="17">
        <v>1970</v>
      </c>
      <c r="D57" s="11">
        <v>4</v>
      </c>
    </row>
    <row r="58" spans="2:10">
      <c r="B58" s="10" t="s">
        <v>62</v>
      </c>
      <c r="C58" s="17">
        <v>1350</v>
      </c>
      <c r="D58" s="11">
        <v>1</v>
      </c>
    </row>
    <row r="59" spans="2:10">
      <c r="B59" s="10" t="s">
        <v>94</v>
      </c>
      <c r="C59" s="17">
        <v>1340</v>
      </c>
      <c r="D59" s="11">
        <v>4</v>
      </c>
    </row>
    <row r="62" spans="2:10">
      <c r="B62" s="6" t="s">
        <v>208</v>
      </c>
      <c r="C62" s="6"/>
      <c r="F62" s="6" t="s">
        <v>209</v>
      </c>
      <c r="G62" s="6"/>
    </row>
    <row r="63" spans="2:10">
      <c r="B63" s="6"/>
      <c r="C63" s="6"/>
      <c r="F63" s="6"/>
      <c r="G63" s="6"/>
    </row>
    <row r="64" spans="2:10">
      <c r="B64" s="6"/>
      <c r="C64" s="6"/>
      <c r="F64" s="6"/>
      <c r="G64" s="6"/>
    </row>
    <row r="65" spans="2:7">
      <c r="B65" s="9" t="s">
        <v>2</v>
      </c>
      <c r="C65" s="10" t="s">
        <v>195</v>
      </c>
      <c r="F65" s="9" t="s">
        <v>2</v>
      </c>
      <c r="G65" s="10" t="s">
        <v>195</v>
      </c>
    </row>
    <row r="66" spans="2:7">
      <c r="B66" s="9" t="s">
        <v>3</v>
      </c>
      <c r="C66" s="10" t="s">
        <v>195</v>
      </c>
      <c r="F66" s="9" t="s">
        <v>3</v>
      </c>
      <c r="G66" s="10" t="s">
        <v>195</v>
      </c>
    </row>
    <row r="67" spans="2:7">
      <c r="B67" s="9" t="s">
        <v>18</v>
      </c>
      <c r="C67" s="10" t="s">
        <v>194</v>
      </c>
      <c r="F67" s="9" t="s">
        <v>18</v>
      </c>
      <c r="G67" s="10" t="s">
        <v>194</v>
      </c>
    </row>
    <row r="68" spans="2:7">
      <c r="B68" s="9" t="s">
        <v>16</v>
      </c>
      <c r="C68" s="10" t="s">
        <v>194</v>
      </c>
      <c r="F68" s="9" t="s">
        <v>16</v>
      </c>
      <c r="G68" s="10" t="s">
        <v>194</v>
      </c>
    </row>
    <row r="70" spans="2:7">
      <c r="B70" s="9" t="s">
        <v>7</v>
      </c>
      <c r="C70" s="10" t="s">
        <v>196</v>
      </c>
      <c r="F70" s="10" t="s">
        <v>196</v>
      </c>
    </row>
    <row r="71" spans="2:7">
      <c r="B71" s="10" t="s">
        <v>72</v>
      </c>
      <c r="C71" s="17">
        <v>10070</v>
      </c>
      <c r="F71" s="17">
        <v>40300</v>
      </c>
    </row>
    <row r="72" spans="2:7">
      <c r="B72" s="10" t="s">
        <v>26</v>
      </c>
      <c r="C72" s="17">
        <v>8650</v>
      </c>
    </row>
    <row r="73" spans="2:7">
      <c r="B73" s="10" t="s">
        <v>41</v>
      </c>
      <c r="C73" s="17">
        <v>4980</v>
      </c>
    </row>
    <row r="74" spans="2:7">
      <c r="B74" s="10" t="s">
        <v>122</v>
      </c>
      <c r="C74" s="17">
        <v>3480</v>
      </c>
      <c r="F74" s="6" t="s">
        <v>210</v>
      </c>
      <c r="G74" s="6"/>
    </row>
    <row r="75" spans="2:7">
      <c r="B75" s="10" t="s">
        <v>102</v>
      </c>
      <c r="C75" s="17">
        <v>3360</v>
      </c>
      <c r="F75" s="6"/>
      <c r="G75" s="6"/>
    </row>
    <row r="76" spans="2:7">
      <c r="B76" s="10" t="s">
        <v>132</v>
      </c>
      <c r="C76" s="17">
        <v>2250</v>
      </c>
      <c r="F76" s="6"/>
      <c r="G76" s="6"/>
    </row>
    <row r="77" spans="2:7">
      <c r="B77" s="10" t="s">
        <v>114</v>
      </c>
      <c r="C77" s="17">
        <v>2200</v>
      </c>
      <c r="F77" s="10" t="s">
        <v>2</v>
      </c>
      <c r="G77" s="10" t="s">
        <v>195</v>
      </c>
    </row>
    <row r="78" spans="2:7">
      <c r="B78" s="10" t="s">
        <v>51</v>
      </c>
      <c r="C78" s="17">
        <v>2000</v>
      </c>
      <c r="F78" s="10" t="s">
        <v>3</v>
      </c>
      <c r="G78" s="10" t="s">
        <v>195</v>
      </c>
    </row>
    <row r="79" spans="2:7">
      <c r="B79" s="10" t="s">
        <v>85</v>
      </c>
      <c r="C79" s="17">
        <v>1970</v>
      </c>
      <c r="F79" s="10" t="s">
        <v>18</v>
      </c>
      <c r="G79" s="10" t="s">
        <v>194</v>
      </c>
    </row>
    <row r="80" spans="2:7">
      <c r="B80" s="10" t="s">
        <v>95</v>
      </c>
      <c r="C80" s="17">
        <v>1340</v>
      </c>
      <c r="F80" s="10" t="s">
        <v>16</v>
      </c>
      <c r="G80" s="10" t="s">
        <v>194</v>
      </c>
    </row>
    <row r="82" spans="6:6">
      <c r="F82" s="9" t="s">
        <v>196</v>
      </c>
    </row>
    <row r="83" spans="6:6">
      <c r="F83" s="17">
        <v>40300</v>
      </c>
    </row>
  </sheetData>
  <mergeCells count="11">
    <mergeCell ref="B62:C64"/>
    <mergeCell ref="F62:G64"/>
    <mergeCell ref="F74:G76"/>
    <mergeCell ref="B2:D2"/>
    <mergeCell ref="F2:I2"/>
    <mergeCell ref="B16:C16"/>
    <mergeCell ref="F16:G17"/>
    <mergeCell ref="I15:J17"/>
    <mergeCell ref="B39:D41"/>
    <mergeCell ref="F39:G41"/>
    <mergeCell ref="I39:J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0E32-DB0C-4FE3-835C-3DE80C9AE5AA}">
  <dimension ref="A1"/>
  <sheetViews>
    <sheetView topLeftCell="A2" workbookViewId="0">
      <selection sqref="A1:XFD1048576"/>
    </sheetView>
  </sheetViews>
  <sheetFormatPr defaultRowHeight="15"/>
  <cols>
    <col min="1" max="1" width="11" style="1" bestFit="1" customWidth="1"/>
    <col min="2" max="2" width="19.85546875" style="1" bestFit="1" customWidth="1"/>
    <col min="3" max="3" width="11.5703125" style="1" bestFit="1" customWidth="1"/>
    <col min="4" max="4" width="12" style="1" bestFit="1" customWidth="1"/>
    <col min="5" max="5" width="9.85546875" style="1" bestFit="1" customWidth="1"/>
    <col min="6" max="6" width="23.7109375" style="1" bestFit="1" customWidth="1"/>
    <col min="7" max="7" width="11.5703125" style="1" bestFit="1" customWidth="1"/>
    <col min="8" max="8" width="19.28515625" style="1" bestFit="1" customWidth="1"/>
    <col min="9" max="9" width="7.42578125" style="1" bestFit="1" customWidth="1"/>
    <col min="10" max="10" width="10.7109375" style="1" bestFit="1" customWidth="1"/>
    <col min="11" max="11" width="27.85546875" style="1" bestFit="1" customWidth="1"/>
    <col min="12" max="12" width="17.42578125" style="1" bestFit="1" customWidth="1"/>
    <col min="13" max="13" width="11.28515625" style="1" bestFit="1" customWidth="1"/>
    <col min="14" max="14" width="14" style="1" bestFit="1" customWidth="1"/>
    <col min="15" max="15" width="10.42578125" style="1" bestFit="1" customWidth="1"/>
    <col min="16" max="16" width="10.5703125" style="1" bestFit="1" customWidth="1"/>
    <col min="17" max="17" width="18.42578125" style="1" bestFit="1" customWidth="1"/>
    <col min="18" max="18" width="17.42578125" style="1" bestFit="1" customWidth="1"/>
    <col min="19" max="19" width="14.28515625" style="1" bestFit="1" customWidth="1"/>
    <col min="20" max="21" width="19.85546875" style="1" bestFit="1" customWidth="1"/>
    <col min="22" max="22" width="16.140625" style="1" bestFit="1" customWidth="1"/>
    <col min="23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Ericson Schmidt Bicalho</cp:lastModifiedBy>
  <cp:revision/>
  <dcterms:created xsi:type="dcterms:W3CDTF">2025-11-15T23:23:06Z</dcterms:created>
  <dcterms:modified xsi:type="dcterms:W3CDTF">2025-11-16T17:23:51Z</dcterms:modified>
  <cp:category/>
  <cp:contentStatus/>
</cp:coreProperties>
</file>